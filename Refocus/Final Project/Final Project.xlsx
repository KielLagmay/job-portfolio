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iellagmay/Downloads/"/>
    </mc:Choice>
  </mc:AlternateContent>
  <xr:revisionPtr revIDLastSave="0" documentId="13_ncr:1_{FD025A92-43FA-564F-A885-9CC18929C60D}" xr6:coauthVersionLast="47" xr6:coauthVersionMax="47" xr10:uidLastSave="{00000000-0000-0000-0000-000000000000}"/>
  <bookViews>
    <workbookView xWindow="0" yWindow="500" windowWidth="25600" windowHeight="14040" activeTab="3" xr2:uid="{00000000-000D-0000-FFFF-FFFF00000000}"/>
  </bookViews>
  <sheets>
    <sheet name="Total Health Spending" sheetId="1" r:id="rId1"/>
    <sheet name="Top 10 Health Spending" sheetId="2" r:id="rId2"/>
    <sheet name="Property and Profit" sheetId="3" r:id="rId3"/>
    <sheet name="Health Spending and Income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G2" i="4"/>
  <c r="F2" i="4"/>
  <c r="E2" i="4"/>
</calcChain>
</file>

<file path=xl/sharedStrings.xml><?xml version="1.0" encoding="utf-8"?>
<sst xmlns="http://schemas.openxmlformats.org/spreadsheetml/2006/main" count="263" uniqueCount="65">
  <si>
    <t>state_usa</t>
  </si>
  <si>
    <t>avg_health_spending</t>
  </si>
  <si>
    <t>population_estimate</t>
  </si>
  <si>
    <t>California</t>
  </si>
  <si>
    <t>Alabama</t>
  </si>
  <si>
    <t>Texas</t>
  </si>
  <si>
    <t>Alaska</t>
  </si>
  <si>
    <t>New York</t>
  </si>
  <si>
    <t>Arizona</t>
  </si>
  <si>
    <t>Pennsylvania</t>
  </si>
  <si>
    <t>Arkansas</t>
  </si>
  <si>
    <t>Florida</t>
  </si>
  <si>
    <t>New Jersey</t>
  </si>
  <si>
    <t>Colorado</t>
  </si>
  <si>
    <t>Illinois</t>
  </si>
  <si>
    <t>Connecticut</t>
  </si>
  <si>
    <t>Virginia</t>
  </si>
  <si>
    <t>Delaware</t>
  </si>
  <si>
    <t>Massachusetts</t>
  </si>
  <si>
    <t>Ohio</t>
  </si>
  <si>
    <t>Georgia</t>
  </si>
  <si>
    <t>Michigan</t>
  </si>
  <si>
    <t>Hawaii</t>
  </si>
  <si>
    <t>Idaho</t>
  </si>
  <si>
    <t>North Carolina</t>
  </si>
  <si>
    <t>Washington</t>
  </si>
  <si>
    <t>Indiana</t>
  </si>
  <si>
    <t>Maryland</t>
  </si>
  <si>
    <t>Iowa</t>
  </si>
  <si>
    <t>Kansas</t>
  </si>
  <si>
    <t>Kentucky</t>
  </si>
  <si>
    <t>Missouri</t>
  </si>
  <si>
    <t>Louisiana</t>
  </si>
  <si>
    <t>Tennessee</t>
  </si>
  <si>
    <t>Maine</t>
  </si>
  <si>
    <t>Wisconsin</t>
  </si>
  <si>
    <t>South Carolina</t>
  </si>
  <si>
    <t>Minnesota</t>
  </si>
  <si>
    <t>Mississippi</t>
  </si>
  <si>
    <t>Oregon</t>
  </si>
  <si>
    <t>Montana</t>
  </si>
  <si>
    <t>Nebraska</t>
  </si>
  <si>
    <t>Nevada</t>
  </si>
  <si>
    <t>New Hampshire</t>
  </si>
  <si>
    <t>Oklahoma</t>
  </si>
  <si>
    <t>Utah</t>
  </si>
  <si>
    <t>New Mexico</t>
  </si>
  <si>
    <t>North Dakota</t>
  </si>
  <si>
    <t>Rhode Island</t>
  </si>
  <si>
    <t>West Virginia</t>
  </si>
  <si>
    <t>South Dakota</t>
  </si>
  <si>
    <t>Vermont</t>
  </si>
  <si>
    <t>Wyoming</t>
  </si>
  <si>
    <t>Grand Total</t>
  </si>
  <si>
    <t>avg_property_price</t>
  </si>
  <si>
    <t>min_property_price</t>
  </si>
  <si>
    <t>max_property_price</t>
  </si>
  <si>
    <t>avg_comp_profit</t>
  </si>
  <si>
    <t>Sum of Total Health Spending</t>
  </si>
  <si>
    <t>State</t>
  </si>
  <si>
    <t>min_health_spending</t>
  </si>
  <si>
    <t>max_health_spending</t>
  </si>
  <si>
    <t>average_income</t>
  </si>
  <si>
    <t>minimum_income</t>
  </si>
  <si>
    <t>maximum_income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</si>
</sst>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[$$-409]* #,##0.00_);_([$$-409]* \(#,##0.00\);_([$$-409]* &quot;-&quot;??_);_(@_)"/>
    <numFmt numFmtId="165" formatCode="_(* #,##0_);_(* \(#,##0\);_(* &quot;-&quot;??_);_(@_)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165" fontId="1" fillId="0" borderId="0" xfId="1" applyNumberFormat="1" applyFont="1" applyAlignment="1">
      <alignment horizontal="left"/>
    </xf>
    <xf numFmtId="165" fontId="1" fillId="0" borderId="0" xfId="1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 Property Prices vs. Average Competitor Profit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'Property and Profit'!$E$1</c:f>
              <c:strCache>
                <c:ptCount val="1"/>
                <c:pt idx="0">
                  <c:v> avg_comp_profit 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5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'Property and Profit'!$B$2:$B$42</c:f>
              <c:numCache>
                <c:formatCode>_([$$-409]* #,##0.00_);_([$$-409]* \(#,##0.00\);_([$$-409]* "-"??_);_(@_)</c:formatCode>
                <c:ptCount val="41"/>
                <c:pt idx="0">
                  <c:v>1797.5</c:v>
                </c:pt>
                <c:pt idx="1">
                  <c:v>2684</c:v>
                </c:pt>
                <c:pt idx="2">
                  <c:v>2356.75</c:v>
                </c:pt>
                <c:pt idx="3">
                  <c:v>1499.25</c:v>
                </c:pt>
                <c:pt idx="4">
                  <c:v>5832.5</c:v>
                </c:pt>
                <c:pt idx="5">
                  <c:v>2987.25</c:v>
                </c:pt>
                <c:pt idx="6">
                  <c:v>3837</c:v>
                </c:pt>
                <c:pt idx="7">
                  <c:v>2289.75</c:v>
                </c:pt>
                <c:pt idx="8">
                  <c:v>2763.5</c:v>
                </c:pt>
                <c:pt idx="9">
                  <c:v>2065</c:v>
                </c:pt>
                <c:pt idx="10">
                  <c:v>5975.5</c:v>
                </c:pt>
                <c:pt idx="11">
                  <c:v>1382</c:v>
                </c:pt>
                <c:pt idx="12">
                  <c:v>2056.5</c:v>
                </c:pt>
                <c:pt idx="13">
                  <c:v>1704.75</c:v>
                </c:pt>
                <c:pt idx="14">
                  <c:v>1442.25</c:v>
                </c:pt>
                <c:pt idx="15">
                  <c:v>1479.5</c:v>
                </c:pt>
                <c:pt idx="16">
                  <c:v>1605</c:v>
                </c:pt>
                <c:pt idx="17">
                  <c:v>1718.5</c:v>
                </c:pt>
                <c:pt idx="18">
                  <c:v>2236</c:v>
                </c:pt>
                <c:pt idx="19">
                  <c:v>3122.75</c:v>
                </c:pt>
                <c:pt idx="20">
                  <c:v>4136.5</c:v>
                </c:pt>
                <c:pt idx="21">
                  <c:v>1812.75</c:v>
                </c:pt>
                <c:pt idx="22">
                  <c:v>2195.5</c:v>
                </c:pt>
                <c:pt idx="23">
                  <c:v>1499.25</c:v>
                </c:pt>
                <c:pt idx="24">
                  <c:v>1677.75</c:v>
                </c:pt>
                <c:pt idx="25">
                  <c:v>1705</c:v>
                </c:pt>
                <c:pt idx="26">
                  <c:v>1459.25</c:v>
                </c:pt>
                <c:pt idx="27">
                  <c:v>2503</c:v>
                </c:pt>
                <c:pt idx="28">
                  <c:v>4968.75</c:v>
                </c:pt>
                <c:pt idx="29">
                  <c:v>1797.5</c:v>
                </c:pt>
                <c:pt idx="30">
                  <c:v>1499.25</c:v>
                </c:pt>
                <c:pt idx="31">
                  <c:v>2684</c:v>
                </c:pt>
                <c:pt idx="32">
                  <c:v>2056.5</c:v>
                </c:pt>
                <c:pt idx="33">
                  <c:v>1812.75</c:v>
                </c:pt>
                <c:pt idx="34">
                  <c:v>2356.75</c:v>
                </c:pt>
                <c:pt idx="35">
                  <c:v>2236</c:v>
                </c:pt>
                <c:pt idx="36">
                  <c:v>2356.75</c:v>
                </c:pt>
                <c:pt idx="37">
                  <c:v>2503</c:v>
                </c:pt>
                <c:pt idx="38">
                  <c:v>3458.25</c:v>
                </c:pt>
                <c:pt idx="39">
                  <c:v>1968.25</c:v>
                </c:pt>
                <c:pt idx="40">
                  <c:v>1968.25</c:v>
                </c:pt>
              </c:numCache>
            </c:numRef>
          </c:xVal>
          <c:yVal>
            <c:numRef>
              <c:f>'Property and Profit'!$E$2:$E$42</c:f>
              <c:numCache>
                <c:formatCode>_([$$-409]* #,##0.00_);_([$$-409]* \(#,##0.00\);_([$$-409]* "-"??_);_(@_)</c:formatCode>
                <c:ptCount val="41"/>
                <c:pt idx="0">
                  <c:v>1138459.3899999999</c:v>
                </c:pt>
                <c:pt idx="1">
                  <c:v>1969126.59</c:v>
                </c:pt>
                <c:pt idx="2">
                  <c:v>2942282.99</c:v>
                </c:pt>
                <c:pt idx="3">
                  <c:v>743958.99</c:v>
                </c:pt>
                <c:pt idx="4">
                  <c:v>398315.7</c:v>
                </c:pt>
                <c:pt idx="5">
                  <c:v>1225371.32</c:v>
                </c:pt>
                <c:pt idx="6">
                  <c:v>1934226.24</c:v>
                </c:pt>
                <c:pt idx="7">
                  <c:v>2265218.9900000002</c:v>
                </c:pt>
                <c:pt idx="8">
                  <c:v>398984.51</c:v>
                </c:pt>
                <c:pt idx="9">
                  <c:v>1193045.5900000001</c:v>
                </c:pt>
                <c:pt idx="10">
                  <c:v>1555451.66</c:v>
                </c:pt>
                <c:pt idx="11">
                  <c:v>1459144.82</c:v>
                </c:pt>
                <c:pt idx="12">
                  <c:v>1582131.16</c:v>
                </c:pt>
                <c:pt idx="13">
                  <c:v>1662267.24</c:v>
                </c:pt>
                <c:pt idx="14">
                  <c:v>1334086.99</c:v>
                </c:pt>
                <c:pt idx="15">
                  <c:v>1579400.59</c:v>
                </c:pt>
                <c:pt idx="16">
                  <c:v>1447839.66</c:v>
                </c:pt>
                <c:pt idx="17">
                  <c:v>1319621.77</c:v>
                </c:pt>
                <c:pt idx="18">
                  <c:v>1474001.82</c:v>
                </c:pt>
                <c:pt idx="19">
                  <c:v>1780200.24</c:v>
                </c:pt>
                <c:pt idx="20">
                  <c:v>1265705.5900000001</c:v>
                </c:pt>
                <c:pt idx="21">
                  <c:v>1240631.3899999999</c:v>
                </c:pt>
                <c:pt idx="22">
                  <c:v>1964784.74</c:v>
                </c:pt>
                <c:pt idx="23">
                  <c:v>1429314.21</c:v>
                </c:pt>
                <c:pt idx="24">
                  <c:v>877868.49</c:v>
                </c:pt>
                <c:pt idx="25">
                  <c:v>1592558.99</c:v>
                </c:pt>
                <c:pt idx="26">
                  <c:v>1527953.99</c:v>
                </c:pt>
                <c:pt idx="27">
                  <c:v>1711246.49</c:v>
                </c:pt>
                <c:pt idx="28">
                  <c:v>132103.72</c:v>
                </c:pt>
                <c:pt idx="29">
                  <c:v>1887164.79</c:v>
                </c:pt>
                <c:pt idx="30">
                  <c:v>2242746.13</c:v>
                </c:pt>
                <c:pt idx="31">
                  <c:v>1619380.66</c:v>
                </c:pt>
                <c:pt idx="32">
                  <c:v>1468978.82</c:v>
                </c:pt>
                <c:pt idx="33">
                  <c:v>1898313.66</c:v>
                </c:pt>
                <c:pt idx="34">
                  <c:v>821438.99</c:v>
                </c:pt>
                <c:pt idx="35">
                  <c:v>1875361.16</c:v>
                </c:pt>
                <c:pt idx="36">
                  <c:v>1174427.99</c:v>
                </c:pt>
                <c:pt idx="37">
                  <c:v>1232170.99</c:v>
                </c:pt>
                <c:pt idx="38">
                  <c:v>1558317.49</c:v>
                </c:pt>
                <c:pt idx="39">
                  <c:v>620797.49</c:v>
                </c:pt>
                <c:pt idx="40">
                  <c:v>1671053.99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EC-F746-850C-BEC5BF9B8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242511"/>
        <c:axId val="739421503"/>
      </c:scatterChart>
      <c:valAx>
        <c:axId val="728242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Property Prices (Thousands)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421503"/>
        <c:crosses val="autoZero"/>
        <c:crossBetween val="midCat"/>
        <c:dispUnits>
          <c:builtInUnit val="thousands"/>
        </c:dispUnits>
      </c:valAx>
      <c:valAx>
        <c:axId val="739421503"/>
        <c:scaling>
          <c:orientation val="minMax"/>
          <c:max val="3500000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</a:t>
                </a:r>
              </a:p>
              <a:p>
                <a:pPr>
                  <a:defRPr/>
                </a:pPr>
                <a:r>
                  <a:rPr lang="en-US"/>
                  <a:t>Competitor Profit</a:t>
                </a:r>
              </a:p>
              <a:p>
                <a:pPr>
                  <a:defRPr/>
                </a:pPr>
                <a:r>
                  <a:rPr lang="en-US"/>
                  <a:t>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242511"/>
        <c:crosses val="autoZero"/>
        <c:crossBetween val="midCat"/>
        <c:dispUnits>
          <c:builtInUnit val="million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Min</a:t>
            </a:r>
            <a:r>
              <a:rPr lang="en-US" baseline="0"/>
              <a:t> Property Prices vs. Average Competitor Profit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'Property and Profit'!$E$1</c:f>
              <c:strCache>
                <c:ptCount val="1"/>
                <c:pt idx="0">
                  <c:v> avg_comp_profit 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5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'Property and Profit'!$C$2:$C$42</c:f>
              <c:numCache>
                <c:formatCode>_([$$-409]* #,##0.00_);_([$$-409]* \(#,##0.00\);_([$$-409]* "-"??_);_(@_)</c:formatCode>
                <c:ptCount val="41"/>
                <c:pt idx="0">
                  <c:v>1200</c:v>
                </c:pt>
                <c:pt idx="1">
                  <c:v>2000</c:v>
                </c:pt>
                <c:pt idx="2">
                  <c:v>1500</c:v>
                </c:pt>
                <c:pt idx="3">
                  <c:v>1000</c:v>
                </c:pt>
                <c:pt idx="4">
                  <c:v>3500</c:v>
                </c:pt>
                <c:pt idx="5">
                  <c:v>2000</c:v>
                </c:pt>
                <c:pt idx="6">
                  <c:v>3000</c:v>
                </c:pt>
                <c:pt idx="7">
                  <c:v>1500</c:v>
                </c:pt>
                <c:pt idx="8">
                  <c:v>1500</c:v>
                </c:pt>
                <c:pt idx="9">
                  <c:v>1200</c:v>
                </c:pt>
                <c:pt idx="10">
                  <c:v>4500</c:v>
                </c:pt>
                <c:pt idx="11">
                  <c:v>800</c:v>
                </c:pt>
                <c:pt idx="12">
                  <c:v>1200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1500</c:v>
                </c:pt>
                <c:pt idx="19">
                  <c:v>2000</c:v>
                </c:pt>
                <c:pt idx="20">
                  <c:v>3000</c:v>
                </c:pt>
                <c:pt idx="21">
                  <c:v>1000</c:v>
                </c:pt>
                <c:pt idx="22">
                  <c:v>1500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1500</c:v>
                </c:pt>
                <c:pt idx="28">
                  <c:v>3500</c:v>
                </c:pt>
                <c:pt idx="29">
                  <c:v>1200</c:v>
                </c:pt>
                <c:pt idx="30">
                  <c:v>1000</c:v>
                </c:pt>
                <c:pt idx="31">
                  <c:v>2000</c:v>
                </c:pt>
                <c:pt idx="32">
                  <c:v>1200</c:v>
                </c:pt>
                <c:pt idx="33">
                  <c:v>1000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2500</c:v>
                </c:pt>
                <c:pt idx="39">
                  <c:v>1200</c:v>
                </c:pt>
                <c:pt idx="40">
                  <c:v>1200</c:v>
                </c:pt>
              </c:numCache>
            </c:numRef>
          </c:xVal>
          <c:yVal>
            <c:numRef>
              <c:f>'Property and Profit'!$E$2:$E$42</c:f>
              <c:numCache>
                <c:formatCode>_([$$-409]* #,##0.00_);_([$$-409]* \(#,##0.00\);_([$$-409]* "-"??_);_(@_)</c:formatCode>
                <c:ptCount val="41"/>
                <c:pt idx="0">
                  <c:v>1138459.3899999999</c:v>
                </c:pt>
                <c:pt idx="1">
                  <c:v>1969126.59</c:v>
                </c:pt>
                <c:pt idx="2">
                  <c:v>2942282.99</c:v>
                </c:pt>
                <c:pt idx="3">
                  <c:v>743958.99</c:v>
                </c:pt>
                <c:pt idx="4">
                  <c:v>398315.7</c:v>
                </c:pt>
                <c:pt idx="5">
                  <c:v>1225371.32</c:v>
                </c:pt>
                <c:pt idx="6">
                  <c:v>1934226.24</c:v>
                </c:pt>
                <c:pt idx="7">
                  <c:v>2265218.9900000002</c:v>
                </c:pt>
                <c:pt idx="8">
                  <c:v>398984.51</c:v>
                </c:pt>
                <c:pt idx="9">
                  <c:v>1193045.5900000001</c:v>
                </c:pt>
                <c:pt idx="10">
                  <c:v>1555451.66</c:v>
                </c:pt>
                <c:pt idx="11">
                  <c:v>1459144.82</c:v>
                </c:pt>
                <c:pt idx="12">
                  <c:v>1582131.16</c:v>
                </c:pt>
                <c:pt idx="13">
                  <c:v>1662267.24</c:v>
                </c:pt>
                <c:pt idx="14">
                  <c:v>1334086.99</c:v>
                </c:pt>
                <c:pt idx="15">
                  <c:v>1579400.59</c:v>
                </c:pt>
                <c:pt idx="16">
                  <c:v>1447839.66</c:v>
                </c:pt>
                <c:pt idx="17">
                  <c:v>1319621.77</c:v>
                </c:pt>
                <c:pt idx="18">
                  <c:v>1474001.82</c:v>
                </c:pt>
                <c:pt idx="19">
                  <c:v>1780200.24</c:v>
                </c:pt>
                <c:pt idx="20">
                  <c:v>1265705.5900000001</c:v>
                </c:pt>
                <c:pt idx="21">
                  <c:v>1240631.3899999999</c:v>
                </c:pt>
                <c:pt idx="22">
                  <c:v>1964784.74</c:v>
                </c:pt>
                <c:pt idx="23">
                  <c:v>1429314.21</c:v>
                </c:pt>
                <c:pt idx="24">
                  <c:v>877868.49</c:v>
                </c:pt>
                <c:pt idx="25">
                  <c:v>1592558.99</c:v>
                </c:pt>
                <c:pt idx="26">
                  <c:v>1527953.99</c:v>
                </c:pt>
                <c:pt idx="27">
                  <c:v>1711246.49</c:v>
                </c:pt>
                <c:pt idx="28">
                  <c:v>132103.72</c:v>
                </c:pt>
                <c:pt idx="29">
                  <c:v>1887164.79</c:v>
                </c:pt>
                <c:pt idx="30">
                  <c:v>2242746.13</c:v>
                </c:pt>
                <c:pt idx="31">
                  <c:v>1619380.66</c:v>
                </c:pt>
                <c:pt idx="32">
                  <c:v>1468978.82</c:v>
                </c:pt>
                <c:pt idx="33">
                  <c:v>1898313.66</c:v>
                </c:pt>
                <c:pt idx="34">
                  <c:v>821438.99</c:v>
                </c:pt>
                <c:pt idx="35">
                  <c:v>1875361.16</c:v>
                </c:pt>
                <c:pt idx="36">
                  <c:v>1174427.99</c:v>
                </c:pt>
                <c:pt idx="37">
                  <c:v>1232170.99</c:v>
                </c:pt>
                <c:pt idx="38">
                  <c:v>1558317.49</c:v>
                </c:pt>
                <c:pt idx="39">
                  <c:v>620797.49</c:v>
                </c:pt>
                <c:pt idx="40">
                  <c:v>1671053.99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23-CB4A-BE72-B4FDBC9BF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7507199"/>
        <c:axId val="725551087"/>
      </c:scatterChart>
      <c:valAx>
        <c:axId val="737507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</a:t>
                </a:r>
                <a:r>
                  <a:rPr lang="en-US" baseline="0"/>
                  <a:t> Property Prices (Thousands)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551087"/>
        <c:crosses val="autoZero"/>
        <c:crossBetween val="midCat"/>
        <c:dispUnits>
          <c:builtInUnit val="thousands"/>
        </c:dispUnits>
      </c:valAx>
      <c:valAx>
        <c:axId val="725551087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</a:p>
              <a:p>
                <a:pPr>
                  <a:defRPr/>
                </a:pPr>
                <a:r>
                  <a:rPr lang="en-US"/>
                  <a:t>Competitor</a:t>
                </a:r>
              </a:p>
              <a:p>
                <a:pPr>
                  <a:defRPr/>
                </a:pPr>
                <a:r>
                  <a:rPr lang="en-US"/>
                  <a:t>Profit</a:t>
                </a:r>
              </a:p>
              <a:p>
                <a:pPr>
                  <a:defRPr/>
                </a:pPr>
                <a:r>
                  <a:rPr lang="en-US"/>
                  <a:t>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507199"/>
        <c:crosses val="autoZero"/>
        <c:crossBetween val="midCat"/>
        <c:dispUnits>
          <c:builtInUnit val="million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Max Property Prices vs. Average Competitor Profit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'Property and Profit'!$E$1</c:f>
              <c:strCache>
                <c:ptCount val="1"/>
                <c:pt idx="0">
                  <c:v> avg_comp_profit 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5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'Property and Profit'!$D$2:$D$42</c:f>
              <c:numCache>
                <c:formatCode>_([$$-409]* #,##0.00_);_([$$-409]* \(#,##0.00\);_([$$-409]* "-"??_);_(@_)</c:formatCode>
                <c:ptCount val="41"/>
                <c:pt idx="0">
                  <c:v>2500</c:v>
                </c:pt>
                <c:pt idx="1">
                  <c:v>3500</c:v>
                </c:pt>
                <c:pt idx="2">
                  <c:v>4000</c:v>
                </c:pt>
                <c:pt idx="3">
                  <c:v>2500</c:v>
                </c:pt>
                <c:pt idx="4">
                  <c:v>9000</c:v>
                </c:pt>
                <c:pt idx="5">
                  <c:v>4500</c:v>
                </c:pt>
                <c:pt idx="6">
                  <c:v>5500</c:v>
                </c:pt>
                <c:pt idx="7">
                  <c:v>3500</c:v>
                </c:pt>
                <c:pt idx="8">
                  <c:v>5000</c:v>
                </c:pt>
                <c:pt idx="9">
                  <c:v>3500</c:v>
                </c:pt>
                <c:pt idx="10">
                  <c:v>7500</c:v>
                </c:pt>
                <c:pt idx="11">
                  <c:v>2500</c:v>
                </c:pt>
                <c:pt idx="12">
                  <c:v>3500</c:v>
                </c:pt>
                <c:pt idx="13">
                  <c:v>3000</c:v>
                </c:pt>
                <c:pt idx="14">
                  <c:v>2000</c:v>
                </c:pt>
                <c:pt idx="15">
                  <c:v>2500</c:v>
                </c:pt>
                <c:pt idx="16">
                  <c:v>3000</c:v>
                </c:pt>
                <c:pt idx="17">
                  <c:v>3000</c:v>
                </c:pt>
                <c:pt idx="18">
                  <c:v>3500</c:v>
                </c:pt>
                <c:pt idx="19">
                  <c:v>5000</c:v>
                </c:pt>
                <c:pt idx="20">
                  <c:v>6000</c:v>
                </c:pt>
                <c:pt idx="21">
                  <c:v>3500</c:v>
                </c:pt>
                <c:pt idx="22">
                  <c:v>4000</c:v>
                </c:pt>
                <c:pt idx="23">
                  <c:v>2500</c:v>
                </c:pt>
                <c:pt idx="24">
                  <c:v>1000</c:v>
                </c:pt>
                <c:pt idx="25">
                  <c:v>3000</c:v>
                </c:pt>
                <c:pt idx="26">
                  <c:v>2500</c:v>
                </c:pt>
                <c:pt idx="27">
                  <c:v>5000</c:v>
                </c:pt>
                <c:pt idx="28">
                  <c:v>30000</c:v>
                </c:pt>
                <c:pt idx="29">
                  <c:v>2500</c:v>
                </c:pt>
                <c:pt idx="30">
                  <c:v>2500</c:v>
                </c:pt>
                <c:pt idx="31">
                  <c:v>3500</c:v>
                </c:pt>
                <c:pt idx="32">
                  <c:v>3500</c:v>
                </c:pt>
                <c:pt idx="33">
                  <c:v>3500</c:v>
                </c:pt>
                <c:pt idx="34">
                  <c:v>4000</c:v>
                </c:pt>
                <c:pt idx="35">
                  <c:v>3500</c:v>
                </c:pt>
                <c:pt idx="36">
                  <c:v>4000</c:v>
                </c:pt>
                <c:pt idx="37">
                  <c:v>5000</c:v>
                </c:pt>
                <c:pt idx="38">
                  <c:v>5000</c:v>
                </c:pt>
                <c:pt idx="39">
                  <c:v>3500</c:v>
                </c:pt>
                <c:pt idx="40">
                  <c:v>3500</c:v>
                </c:pt>
              </c:numCache>
            </c:numRef>
          </c:xVal>
          <c:yVal>
            <c:numRef>
              <c:f>'Property and Profit'!$E$2:$E$42</c:f>
              <c:numCache>
                <c:formatCode>_([$$-409]* #,##0.00_);_([$$-409]* \(#,##0.00\);_([$$-409]* "-"??_);_(@_)</c:formatCode>
                <c:ptCount val="41"/>
                <c:pt idx="0">
                  <c:v>1138459.3899999999</c:v>
                </c:pt>
                <c:pt idx="1">
                  <c:v>1969126.59</c:v>
                </c:pt>
                <c:pt idx="2">
                  <c:v>2942282.99</c:v>
                </c:pt>
                <c:pt idx="3">
                  <c:v>743958.99</c:v>
                </c:pt>
                <c:pt idx="4">
                  <c:v>398315.7</c:v>
                </c:pt>
                <c:pt idx="5">
                  <c:v>1225371.32</c:v>
                </c:pt>
                <c:pt idx="6">
                  <c:v>1934226.24</c:v>
                </c:pt>
                <c:pt idx="7">
                  <c:v>2265218.9900000002</c:v>
                </c:pt>
                <c:pt idx="8">
                  <c:v>398984.51</c:v>
                </c:pt>
                <c:pt idx="9">
                  <c:v>1193045.5900000001</c:v>
                </c:pt>
                <c:pt idx="10">
                  <c:v>1555451.66</c:v>
                </c:pt>
                <c:pt idx="11">
                  <c:v>1459144.82</c:v>
                </c:pt>
                <c:pt idx="12">
                  <c:v>1582131.16</c:v>
                </c:pt>
                <c:pt idx="13">
                  <c:v>1662267.24</c:v>
                </c:pt>
                <c:pt idx="14">
                  <c:v>1334086.99</c:v>
                </c:pt>
                <c:pt idx="15">
                  <c:v>1579400.59</c:v>
                </c:pt>
                <c:pt idx="16">
                  <c:v>1447839.66</c:v>
                </c:pt>
                <c:pt idx="17">
                  <c:v>1319621.77</c:v>
                </c:pt>
                <c:pt idx="18">
                  <c:v>1474001.82</c:v>
                </c:pt>
                <c:pt idx="19">
                  <c:v>1780200.24</c:v>
                </c:pt>
                <c:pt idx="20">
                  <c:v>1265705.5900000001</c:v>
                </c:pt>
                <c:pt idx="21">
                  <c:v>1240631.3899999999</c:v>
                </c:pt>
                <c:pt idx="22">
                  <c:v>1964784.74</c:v>
                </c:pt>
                <c:pt idx="23">
                  <c:v>1429314.21</c:v>
                </c:pt>
                <c:pt idx="24">
                  <c:v>877868.49</c:v>
                </c:pt>
                <c:pt idx="25">
                  <c:v>1592558.99</c:v>
                </c:pt>
                <c:pt idx="26">
                  <c:v>1527953.99</c:v>
                </c:pt>
                <c:pt idx="27">
                  <c:v>1711246.49</c:v>
                </c:pt>
                <c:pt idx="28">
                  <c:v>132103.72</c:v>
                </c:pt>
                <c:pt idx="29">
                  <c:v>1887164.79</c:v>
                </c:pt>
                <c:pt idx="30">
                  <c:v>2242746.13</c:v>
                </c:pt>
                <c:pt idx="31">
                  <c:v>1619380.66</c:v>
                </c:pt>
                <c:pt idx="32">
                  <c:v>1468978.82</c:v>
                </c:pt>
                <c:pt idx="33">
                  <c:v>1898313.66</c:v>
                </c:pt>
                <c:pt idx="34">
                  <c:v>821438.99</c:v>
                </c:pt>
                <c:pt idx="35">
                  <c:v>1875361.16</c:v>
                </c:pt>
                <c:pt idx="36">
                  <c:v>1174427.99</c:v>
                </c:pt>
                <c:pt idx="37">
                  <c:v>1232170.99</c:v>
                </c:pt>
                <c:pt idx="38">
                  <c:v>1558317.49</c:v>
                </c:pt>
                <c:pt idx="39">
                  <c:v>620797.49</c:v>
                </c:pt>
                <c:pt idx="40">
                  <c:v>1671053.99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D1-2A46-8033-CB7A8DBAA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3401039"/>
        <c:axId val="753915135"/>
      </c:scatterChart>
      <c:valAx>
        <c:axId val="753401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</a:t>
                </a:r>
                <a:r>
                  <a:rPr lang="en-US" baseline="0"/>
                  <a:t> Property Prices (Thousands)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915135"/>
        <c:crosses val="autoZero"/>
        <c:crossBetween val="midCat"/>
        <c:dispUnits>
          <c:builtInUnit val="thousands"/>
        </c:dispUnits>
      </c:valAx>
      <c:valAx>
        <c:axId val="753915135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</a:p>
              <a:p>
                <a:pPr>
                  <a:defRPr/>
                </a:pPr>
                <a:r>
                  <a:rPr lang="en-US"/>
                  <a:t>Competitor</a:t>
                </a:r>
              </a:p>
              <a:p>
                <a:pPr>
                  <a:defRPr/>
                </a:pPr>
                <a:r>
                  <a:rPr lang="en-US"/>
                  <a:t>Profit</a:t>
                </a:r>
              </a:p>
              <a:p>
                <a:pPr>
                  <a:defRPr/>
                </a:pPr>
                <a:r>
                  <a:rPr lang="en-US"/>
                  <a:t>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401039"/>
        <c:crosses val="autoZero"/>
        <c:crossBetween val="midCat"/>
        <c:dispUnits>
          <c:builtInUnit val="million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 Health Spending per</a:t>
            </a:r>
            <a:r>
              <a:rPr lang="en-US" baseline="0"/>
              <a:t> Person and Average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'Health Spending and Income'!$E$1</c:f>
              <c:strCache>
                <c:ptCount val="1"/>
                <c:pt idx="0">
                  <c:v> avg_health_spending 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5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'Health Spending and Income'!$B$2:$B$51</c:f>
              <c:numCache>
                <c:formatCode>_([$$-409]* #,##0.00_);_([$$-409]* \(#,##0.00\);_([$$-409]* "-"??_);_(@_)</c:formatCode>
                <c:ptCount val="50"/>
                <c:pt idx="0">
                  <c:v>51113</c:v>
                </c:pt>
                <c:pt idx="1">
                  <c:v>76440</c:v>
                </c:pt>
                <c:pt idx="2">
                  <c:v>62283</c:v>
                </c:pt>
                <c:pt idx="3">
                  <c:v>48829</c:v>
                </c:pt>
                <c:pt idx="4">
                  <c:v>80440</c:v>
                </c:pt>
                <c:pt idx="5">
                  <c:v>76240</c:v>
                </c:pt>
                <c:pt idx="6">
                  <c:v>79287</c:v>
                </c:pt>
                <c:pt idx="7">
                  <c:v>64040</c:v>
                </c:pt>
                <c:pt idx="8">
                  <c:v>58108</c:v>
                </c:pt>
                <c:pt idx="9">
                  <c:v>58932</c:v>
                </c:pt>
                <c:pt idx="10">
                  <c:v>78084</c:v>
                </c:pt>
                <c:pt idx="11">
                  <c:v>53545</c:v>
                </c:pt>
                <c:pt idx="12">
                  <c:v>70387</c:v>
                </c:pt>
                <c:pt idx="13">
                  <c:v>57881</c:v>
                </c:pt>
                <c:pt idx="14">
                  <c:v>62075</c:v>
                </c:pt>
                <c:pt idx="15">
                  <c:v>59046</c:v>
                </c:pt>
                <c:pt idx="16">
                  <c:v>50675</c:v>
                </c:pt>
                <c:pt idx="17">
                  <c:v>50686</c:v>
                </c:pt>
                <c:pt idx="18">
                  <c:v>54927</c:v>
                </c:pt>
                <c:pt idx="19">
                  <c:v>89392</c:v>
                </c:pt>
                <c:pt idx="20">
                  <c:v>82427</c:v>
                </c:pt>
                <c:pt idx="21">
                  <c:v>61347</c:v>
                </c:pt>
                <c:pt idx="22">
                  <c:v>72027</c:v>
                </c:pt>
                <c:pt idx="23">
                  <c:v>47131</c:v>
                </c:pt>
                <c:pt idx="24">
                  <c:v>55685</c:v>
                </c:pt>
                <c:pt idx="25">
                  <c:v>54875</c:v>
                </c:pt>
                <c:pt idx="26">
                  <c:v>59929</c:v>
                </c:pt>
                <c:pt idx="27">
                  <c:v>60106</c:v>
                </c:pt>
                <c:pt idx="28">
                  <c:v>78676</c:v>
                </c:pt>
                <c:pt idx="29">
                  <c:v>81740</c:v>
                </c:pt>
                <c:pt idx="30">
                  <c:v>48701</c:v>
                </c:pt>
                <c:pt idx="31">
                  <c:v>70137</c:v>
                </c:pt>
                <c:pt idx="32">
                  <c:v>54560</c:v>
                </c:pt>
                <c:pt idx="33">
                  <c:v>63715</c:v>
                </c:pt>
                <c:pt idx="34">
                  <c:v>56583</c:v>
                </c:pt>
                <c:pt idx="35">
                  <c:v>51424</c:v>
                </c:pt>
                <c:pt idx="36">
                  <c:v>63835</c:v>
                </c:pt>
                <c:pt idx="37">
                  <c:v>65135</c:v>
                </c:pt>
                <c:pt idx="38">
                  <c:v>64962</c:v>
                </c:pt>
                <c:pt idx="39">
                  <c:v>52536</c:v>
                </c:pt>
                <c:pt idx="40">
                  <c:v>56499</c:v>
                </c:pt>
                <c:pt idx="41">
                  <c:v>55107</c:v>
                </c:pt>
                <c:pt idx="42">
                  <c:v>63656</c:v>
                </c:pt>
                <c:pt idx="43">
                  <c:v>72558</c:v>
                </c:pt>
                <c:pt idx="44">
                  <c:v>58305</c:v>
                </c:pt>
                <c:pt idx="45">
                  <c:v>75417</c:v>
                </c:pt>
                <c:pt idx="46">
                  <c:v>77338</c:v>
                </c:pt>
                <c:pt idx="47">
                  <c:v>46254</c:v>
                </c:pt>
                <c:pt idx="48">
                  <c:v>63795</c:v>
                </c:pt>
                <c:pt idx="49">
                  <c:v>60434</c:v>
                </c:pt>
              </c:numCache>
            </c:numRef>
          </c:xVal>
          <c:yVal>
            <c:numRef>
              <c:f>'Health Spending and Income'!$E$2:$E$51</c:f>
              <c:numCache>
                <c:formatCode>_([$$-409]* #,##0.00_);_([$$-409]* \(#,##0.00\);_([$$-409]* "-"??_);_(@_)</c:formatCode>
                <c:ptCount val="50"/>
                <c:pt idx="0">
                  <c:v>200.5</c:v>
                </c:pt>
                <c:pt idx="1">
                  <c:v>300.25</c:v>
                </c:pt>
                <c:pt idx="2">
                  <c:v>150</c:v>
                </c:pt>
                <c:pt idx="3">
                  <c:v>175</c:v>
                </c:pt>
                <c:pt idx="4">
                  <c:v>250.75</c:v>
                </c:pt>
                <c:pt idx="5">
                  <c:v>225.5</c:v>
                </c:pt>
                <c:pt idx="6">
                  <c:v>300</c:v>
                </c:pt>
                <c:pt idx="7">
                  <c:v>175.5</c:v>
                </c:pt>
                <c:pt idx="8">
                  <c:v>175.25</c:v>
                </c:pt>
                <c:pt idx="9">
                  <c:v>200</c:v>
                </c:pt>
                <c:pt idx="10">
                  <c:v>350</c:v>
                </c:pt>
                <c:pt idx="11">
                  <c:v>125.5</c:v>
                </c:pt>
                <c:pt idx="12">
                  <c:v>225.75</c:v>
                </c:pt>
                <c:pt idx="13">
                  <c:v>200.25</c:v>
                </c:pt>
                <c:pt idx="14">
                  <c:v>150</c:v>
                </c:pt>
                <c:pt idx="15">
                  <c:v>175.5</c:v>
                </c:pt>
                <c:pt idx="16">
                  <c:v>175</c:v>
                </c:pt>
                <c:pt idx="17">
                  <c:v>200</c:v>
                </c:pt>
                <c:pt idx="18">
                  <c:v>225.75</c:v>
                </c:pt>
                <c:pt idx="19">
                  <c:v>300</c:v>
                </c:pt>
                <c:pt idx="20">
                  <c:v>350</c:v>
                </c:pt>
                <c:pt idx="21">
                  <c:v>225.5</c:v>
                </c:pt>
                <c:pt idx="22">
                  <c:v>175.5</c:v>
                </c:pt>
                <c:pt idx="23">
                  <c:v>150</c:v>
                </c:pt>
                <c:pt idx="24">
                  <c:v>200.25</c:v>
                </c:pt>
                <c:pt idx="25">
                  <c:v>125.5</c:v>
                </c:pt>
                <c:pt idx="26">
                  <c:v>175.5</c:v>
                </c:pt>
                <c:pt idx="27">
                  <c:v>250.75</c:v>
                </c:pt>
                <c:pt idx="28">
                  <c:v>300</c:v>
                </c:pt>
                <c:pt idx="29">
                  <c:v>350</c:v>
                </c:pt>
                <c:pt idx="30">
                  <c:v>175</c:v>
                </c:pt>
                <c:pt idx="31">
                  <c:v>225.75</c:v>
                </c:pt>
                <c:pt idx="32">
                  <c:v>200</c:v>
                </c:pt>
                <c:pt idx="33">
                  <c:v>150</c:v>
                </c:pt>
                <c:pt idx="34">
                  <c:v>200.25</c:v>
                </c:pt>
                <c:pt idx="35">
                  <c:v>175.5</c:v>
                </c:pt>
                <c:pt idx="36">
                  <c:v>225.5</c:v>
                </c:pt>
                <c:pt idx="37">
                  <c:v>300</c:v>
                </c:pt>
                <c:pt idx="38">
                  <c:v>350</c:v>
                </c:pt>
                <c:pt idx="39">
                  <c:v>200</c:v>
                </c:pt>
                <c:pt idx="40">
                  <c:v>150</c:v>
                </c:pt>
                <c:pt idx="41">
                  <c:v>175.25</c:v>
                </c:pt>
                <c:pt idx="42">
                  <c:v>225.75</c:v>
                </c:pt>
                <c:pt idx="43">
                  <c:v>175.5</c:v>
                </c:pt>
                <c:pt idx="44">
                  <c:v>225.75</c:v>
                </c:pt>
                <c:pt idx="45">
                  <c:v>300</c:v>
                </c:pt>
                <c:pt idx="46">
                  <c:v>250.75</c:v>
                </c:pt>
                <c:pt idx="47">
                  <c:v>175</c:v>
                </c:pt>
                <c:pt idx="48">
                  <c:v>200.25</c:v>
                </c:pt>
                <c:pt idx="49">
                  <c:v>125.5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3E-4743-AF75-1097763EE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955183"/>
        <c:axId val="1310412095"/>
      </c:scatterChart>
      <c:valAx>
        <c:axId val="1330955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Income (Ten Thousands)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412095"/>
        <c:crosses val="autoZero"/>
        <c:crossBetween val="midCat"/>
        <c:dispUnits>
          <c:builtInUnit val="tenThousands"/>
        </c:dispUnits>
      </c:valAx>
      <c:valAx>
        <c:axId val="1310412095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Health Spending Per Person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955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Min</a:t>
            </a:r>
            <a:r>
              <a:rPr lang="en-US" baseline="0"/>
              <a:t> Health Spending per Person and Average Income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'Health Spending and Income'!$F$1</c:f>
              <c:strCache>
                <c:ptCount val="1"/>
                <c:pt idx="0">
                  <c:v> min_health_spending 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5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'Health Spending and Income'!$B$2:$B$51</c:f>
              <c:numCache>
                <c:formatCode>_([$$-409]* #,##0.00_);_([$$-409]* \(#,##0.00\);_([$$-409]* "-"??_);_(@_)</c:formatCode>
                <c:ptCount val="50"/>
                <c:pt idx="0">
                  <c:v>51113</c:v>
                </c:pt>
                <c:pt idx="1">
                  <c:v>76440</c:v>
                </c:pt>
                <c:pt idx="2">
                  <c:v>62283</c:v>
                </c:pt>
                <c:pt idx="3">
                  <c:v>48829</c:v>
                </c:pt>
                <c:pt idx="4">
                  <c:v>80440</c:v>
                </c:pt>
                <c:pt idx="5">
                  <c:v>76240</c:v>
                </c:pt>
                <c:pt idx="6">
                  <c:v>79287</c:v>
                </c:pt>
                <c:pt idx="7">
                  <c:v>64040</c:v>
                </c:pt>
                <c:pt idx="8">
                  <c:v>58108</c:v>
                </c:pt>
                <c:pt idx="9">
                  <c:v>58932</c:v>
                </c:pt>
                <c:pt idx="10">
                  <c:v>78084</c:v>
                </c:pt>
                <c:pt idx="11">
                  <c:v>53545</c:v>
                </c:pt>
                <c:pt idx="12">
                  <c:v>70387</c:v>
                </c:pt>
                <c:pt idx="13">
                  <c:v>57881</c:v>
                </c:pt>
                <c:pt idx="14">
                  <c:v>62075</c:v>
                </c:pt>
                <c:pt idx="15">
                  <c:v>59046</c:v>
                </c:pt>
                <c:pt idx="16">
                  <c:v>50675</c:v>
                </c:pt>
                <c:pt idx="17">
                  <c:v>50686</c:v>
                </c:pt>
                <c:pt idx="18">
                  <c:v>54927</c:v>
                </c:pt>
                <c:pt idx="19">
                  <c:v>89392</c:v>
                </c:pt>
                <c:pt idx="20">
                  <c:v>82427</c:v>
                </c:pt>
                <c:pt idx="21">
                  <c:v>61347</c:v>
                </c:pt>
                <c:pt idx="22">
                  <c:v>72027</c:v>
                </c:pt>
                <c:pt idx="23">
                  <c:v>47131</c:v>
                </c:pt>
                <c:pt idx="24">
                  <c:v>55685</c:v>
                </c:pt>
                <c:pt idx="25">
                  <c:v>54875</c:v>
                </c:pt>
                <c:pt idx="26">
                  <c:v>59929</c:v>
                </c:pt>
                <c:pt idx="27">
                  <c:v>60106</c:v>
                </c:pt>
                <c:pt idx="28">
                  <c:v>78676</c:v>
                </c:pt>
                <c:pt idx="29">
                  <c:v>81740</c:v>
                </c:pt>
                <c:pt idx="30">
                  <c:v>48701</c:v>
                </c:pt>
                <c:pt idx="31">
                  <c:v>70137</c:v>
                </c:pt>
                <c:pt idx="32">
                  <c:v>54560</c:v>
                </c:pt>
                <c:pt idx="33">
                  <c:v>63715</c:v>
                </c:pt>
                <c:pt idx="34">
                  <c:v>56583</c:v>
                </c:pt>
                <c:pt idx="35">
                  <c:v>51424</c:v>
                </c:pt>
                <c:pt idx="36">
                  <c:v>63835</c:v>
                </c:pt>
                <c:pt idx="37">
                  <c:v>65135</c:v>
                </c:pt>
                <c:pt idx="38">
                  <c:v>64962</c:v>
                </c:pt>
                <c:pt idx="39">
                  <c:v>52536</c:v>
                </c:pt>
                <c:pt idx="40">
                  <c:v>56499</c:v>
                </c:pt>
                <c:pt idx="41">
                  <c:v>55107</c:v>
                </c:pt>
                <c:pt idx="42">
                  <c:v>63656</c:v>
                </c:pt>
                <c:pt idx="43">
                  <c:v>72558</c:v>
                </c:pt>
                <c:pt idx="44">
                  <c:v>58305</c:v>
                </c:pt>
                <c:pt idx="45">
                  <c:v>75417</c:v>
                </c:pt>
                <c:pt idx="46">
                  <c:v>77338</c:v>
                </c:pt>
                <c:pt idx="47">
                  <c:v>46254</c:v>
                </c:pt>
                <c:pt idx="48">
                  <c:v>63795</c:v>
                </c:pt>
                <c:pt idx="49">
                  <c:v>60434</c:v>
                </c:pt>
              </c:numCache>
            </c:numRef>
          </c:xVal>
          <c:yVal>
            <c:numRef>
              <c:f>'Health Spending and Income'!$F$2:$F$51</c:f>
              <c:numCache>
                <c:formatCode>_([$$-409]* #,##0.00_);_([$$-409]* \(#,##0.00\);_([$$-409]* "-"??_);_(@_)</c:formatCode>
                <c:ptCount val="50"/>
                <c:pt idx="0">
                  <c:v>50</c:v>
                </c:pt>
                <c:pt idx="1">
                  <c:v>100</c:v>
                </c:pt>
                <c:pt idx="2">
                  <c:v>25</c:v>
                </c:pt>
                <c:pt idx="3">
                  <c:v>75</c:v>
                </c:pt>
                <c:pt idx="4">
                  <c:v>50</c:v>
                </c:pt>
                <c:pt idx="5">
                  <c:v>100</c:v>
                </c:pt>
                <c:pt idx="6">
                  <c:v>150</c:v>
                </c:pt>
                <c:pt idx="7">
                  <c:v>75</c:v>
                </c:pt>
                <c:pt idx="8">
                  <c:v>50</c:v>
                </c:pt>
                <c:pt idx="9">
                  <c:v>75</c:v>
                </c:pt>
                <c:pt idx="10">
                  <c:v>200</c:v>
                </c:pt>
                <c:pt idx="11">
                  <c:v>50</c:v>
                </c:pt>
                <c:pt idx="12">
                  <c:v>100</c:v>
                </c:pt>
                <c:pt idx="13">
                  <c:v>75</c:v>
                </c:pt>
                <c:pt idx="14">
                  <c:v>50</c:v>
                </c:pt>
                <c:pt idx="15">
                  <c:v>50</c:v>
                </c:pt>
                <c:pt idx="16">
                  <c:v>75</c:v>
                </c:pt>
                <c:pt idx="17">
                  <c:v>75</c:v>
                </c:pt>
                <c:pt idx="18">
                  <c:v>100</c:v>
                </c:pt>
                <c:pt idx="19">
                  <c:v>150</c:v>
                </c:pt>
                <c:pt idx="20">
                  <c:v>200</c:v>
                </c:pt>
                <c:pt idx="21">
                  <c:v>100</c:v>
                </c:pt>
                <c:pt idx="22">
                  <c:v>75</c:v>
                </c:pt>
                <c:pt idx="23">
                  <c:v>25</c:v>
                </c:pt>
                <c:pt idx="24">
                  <c:v>75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150</c:v>
                </c:pt>
                <c:pt idx="29">
                  <c:v>200</c:v>
                </c:pt>
                <c:pt idx="30">
                  <c:v>75</c:v>
                </c:pt>
                <c:pt idx="31">
                  <c:v>100</c:v>
                </c:pt>
                <c:pt idx="32">
                  <c:v>75</c:v>
                </c:pt>
                <c:pt idx="33">
                  <c:v>50</c:v>
                </c:pt>
                <c:pt idx="34">
                  <c:v>75</c:v>
                </c:pt>
                <c:pt idx="35">
                  <c:v>50</c:v>
                </c:pt>
                <c:pt idx="36">
                  <c:v>100</c:v>
                </c:pt>
                <c:pt idx="37">
                  <c:v>150</c:v>
                </c:pt>
                <c:pt idx="38">
                  <c:v>200</c:v>
                </c:pt>
                <c:pt idx="39">
                  <c:v>75</c:v>
                </c:pt>
                <c:pt idx="40">
                  <c:v>50</c:v>
                </c:pt>
                <c:pt idx="41">
                  <c:v>50</c:v>
                </c:pt>
                <c:pt idx="42">
                  <c:v>100</c:v>
                </c:pt>
                <c:pt idx="43">
                  <c:v>50</c:v>
                </c:pt>
                <c:pt idx="44">
                  <c:v>100</c:v>
                </c:pt>
                <c:pt idx="45">
                  <c:v>150</c:v>
                </c:pt>
                <c:pt idx="46">
                  <c:v>50</c:v>
                </c:pt>
                <c:pt idx="47">
                  <c:v>75</c:v>
                </c:pt>
                <c:pt idx="48">
                  <c:v>75</c:v>
                </c:pt>
                <c:pt idx="49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C5-984C-B2D6-886D1D0E3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205967"/>
        <c:axId val="1332209551"/>
      </c:scatterChart>
      <c:valAx>
        <c:axId val="1332205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Income (Ten Thousands)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209551"/>
        <c:crosses val="autoZero"/>
        <c:crossBetween val="midCat"/>
        <c:dispUnits>
          <c:builtInUnit val="tenThousands"/>
        </c:dispUnits>
      </c:valAx>
      <c:valAx>
        <c:axId val="1332209551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</a:t>
                </a:r>
                <a:r>
                  <a:rPr lang="en-US" baseline="0"/>
                  <a:t> Health Spending Per Person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205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Health Spending per Person and Average Income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'Health Spending and Income'!$G$1</c:f>
              <c:strCache>
                <c:ptCount val="1"/>
                <c:pt idx="0">
                  <c:v> max_health_spending 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5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'Health Spending and Income'!$B$2:$B$51</c:f>
              <c:numCache>
                <c:formatCode>_([$$-409]* #,##0.00_);_([$$-409]* \(#,##0.00\);_([$$-409]* "-"??_);_(@_)</c:formatCode>
                <c:ptCount val="50"/>
                <c:pt idx="0">
                  <c:v>51113</c:v>
                </c:pt>
                <c:pt idx="1">
                  <c:v>76440</c:v>
                </c:pt>
                <c:pt idx="2">
                  <c:v>62283</c:v>
                </c:pt>
                <c:pt idx="3">
                  <c:v>48829</c:v>
                </c:pt>
                <c:pt idx="4">
                  <c:v>80440</c:v>
                </c:pt>
                <c:pt idx="5">
                  <c:v>76240</c:v>
                </c:pt>
                <c:pt idx="6">
                  <c:v>79287</c:v>
                </c:pt>
                <c:pt idx="7">
                  <c:v>64040</c:v>
                </c:pt>
                <c:pt idx="8">
                  <c:v>58108</c:v>
                </c:pt>
                <c:pt idx="9">
                  <c:v>58932</c:v>
                </c:pt>
                <c:pt idx="10">
                  <c:v>78084</c:v>
                </c:pt>
                <c:pt idx="11">
                  <c:v>53545</c:v>
                </c:pt>
                <c:pt idx="12">
                  <c:v>70387</c:v>
                </c:pt>
                <c:pt idx="13">
                  <c:v>57881</c:v>
                </c:pt>
                <c:pt idx="14">
                  <c:v>62075</c:v>
                </c:pt>
                <c:pt idx="15">
                  <c:v>59046</c:v>
                </c:pt>
                <c:pt idx="16">
                  <c:v>50675</c:v>
                </c:pt>
                <c:pt idx="17">
                  <c:v>50686</c:v>
                </c:pt>
                <c:pt idx="18">
                  <c:v>54927</c:v>
                </c:pt>
                <c:pt idx="19">
                  <c:v>89392</c:v>
                </c:pt>
                <c:pt idx="20">
                  <c:v>82427</c:v>
                </c:pt>
                <c:pt idx="21">
                  <c:v>61347</c:v>
                </c:pt>
                <c:pt idx="22">
                  <c:v>72027</c:v>
                </c:pt>
                <c:pt idx="23">
                  <c:v>47131</c:v>
                </c:pt>
                <c:pt idx="24">
                  <c:v>55685</c:v>
                </c:pt>
                <c:pt idx="25">
                  <c:v>54875</c:v>
                </c:pt>
                <c:pt idx="26">
                  <c:v>59929</c:v>
                </c:pt>
                <c:pt idx="27">
                  <c:v>60106</c:v>
                </c:pt>
                <c:pt idx="28">
                  <c:v>78676</c:v>
                </c:pt>
                <c:pt idx="29">
                  <c:v>81740</c:v>
                </c:pt>
                <c:pt idx="30">
                  <c:v>48701</c:v>
                </c:pt>
                <c:pt idx="31">
                  <c:v>70137</c:v>
                </c:pt>
                <c:pt idx="32">
                  <c:v>54560</c:v>
                </c:pt>
                <c:pt idx="33">
                  <c:v>63715</c:v>
                </c:pt>
                <c:pt idx="34">
                  <c:v>56583</c:v>
                </c:pt>
                <c:pt idx="35">
                  <c:v>51424</c:v>
                </c:pt>
                <c:pt idx="36">
                  <c:v>63835</c:v>
                </c:pt>
                <c:pt idx="37">
                  <c:v>65135</c:v>
                </c:pt>
                <c:pt idx="38">
                  <c:v>64962</c:v>
                </c:pt>
                <c:pt idx="39">
                  <c:v>52536</c:v>
                </c:pt>
                <c:pt idx="40">
                  <c:v>56499</c:v>
                </c:pt>
                <c:pt idx="41">
                  <c:v>55107</c:v>
                </c:pt>
                <c:pt idx="42">
                  <c:v>63656</c:v>
                </c:pt>
                <c:pt idx="43">
                  <c:v>72558</c:v>
                </c:pt>
                <c:pt idx="44">
                  <c:v>58305</c:v>
                </c:pt>
                <c:pt idx="45">
                  <c:v>75417</c:v>
                </c:pt>
                <c:pt idx="46">
                  <c:v>77338</c:v>
                </c:pt>
                <c:pt idx="47">
                  <c:v>46254</c:v>
                </c:pt>
                <c:pt idx="48">
                  <c:v>63795</c:v>
                </c:pt>
                <c:pt idx="49">
                  <c:v>60434</c:v>
                </c:pt>
              </c:numCache>
            </c:numRef>
          </c:xVal>
          <c:yVal>
            <c:numRef>
              <c:f>'Health Spending and Income'!$G$2:$G$51</c:f>
              <c:numCache>
                <c:formatCode>_([$$-409]* #,##0.00_);_([$$-409]* \(#,##0.00\);_([$$-409]* "-"??_);_(@_)</c:formatCode>
                <c:ptCount val="50"/>
                <c:pt idx="0">
                  <c:v>500</c:v>
                </c:pt>
                <c:pt idx="1">
                  <c:v>750</c:v>
                </c:pt>
                <c:pt idx="2">
                  <c:v>300</c:v>
                </c:pt>
                <c:pt idx="3">
                  <c:v>400</c:v>
                </c:pt>
                <c:pt idx="4">
                  <c:v>600</c:v>
                </c:pt>
                <c:pt idx="5">
                  <c:v>500</c:v>
                </c:pt>
                <c:pt idx="6">
                  <c:v>700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800</c:v>
                </c:pt>
                <c:pt idx="11">
                  <c:v>300</c:v>
                </c:pt>
                <c:pt idx="12">
                  <c:v>500</c:v>
                </c:pt>
                <c:pt idx="13">
                  <c:v>400</c:v>
                </c:pt>
                <c:pt idx="14">
                  <c:v>250</c:v>
                </c:pt>
                <c:pt idx="15">
                  <c:v>350</c:v>
                </c:pt>
                <c:pt idx="16">
                  <c:v>400</c:v>
                </c:pt>
                <c:pt idx="17">
                  <c:v>450</c:v>
                </c:pt>
                <c:pt idx="18">
                  <c:v>500</c:v>
                </c:pt>
                <c:pt idx="19">
                  <c:v>700</c:v>
                </c:pt>
                <c:pt idx="20">
                  <c:v>800</c:v>
                </c:pt>
                <c:pt idx="21">
                  <c:v>500</c:v>
                </c:pt>
                <c:pt idx="22">
                  <c:v>400</c:v>
                </c:pt>
                <c:pt idx="23">
                  <c:v>300</c:v>
                </c:pt>
                <c:pt idx="24">
                  <c:v>400</c:v>
                </c:pt>
                <c:pt idx="25">
                  <c:v>300</c:v>
                </c:pt>
                <c:pt idx="26">
                  <c:v>350</c:v>
                </c:pt>
                <c:pt idx="27">
                  <c:v>600</c:v>
                </c:pt>
                <c:pt idx="28">
                  <c:v>700</c:v>
                </c:pt>
                <c:pt idx="29">
                  <c:v>800</c:v>
                </c:pt>
                <c:pt idx="30">
                  <c:v>400</c:v>
                </c:pt>
                <c:pt idx="31">
                  <c:v>500</c:v>
                </c:pt>
                <c:pt idx="32">
                  <c:v>450</c:v>
                </c:pt>
                <c:pt idx="33">
                  <c:v>250</c:v>
                </c:pt>
                <c:pt idx="34">
                  <c:v>400</c:v>
                </c:pt>
                <c:pt idx="35">
                  <c:v>350</c:v>
                </c:pt>
                <c:pt idx="36">
                  <c:v>500</c:v>
                </c:pt>
                <c:pt idx="37">
                  <c:v>700</c:v>
                </c:pt>
                <c:pt idx="38">
                  <c:v>800</c:v>
                </c:pt>
                <c:pt idx="39">
                  <c:v>450</c:v>
                </c:pt>
                <c:pt idx="40">
                  <c:v>250</c:v>
                </c:pt>
                <c:pt idx="41">
                  <c:v>400</c:v>
                </c:pt>
                <c:pt idx="42">
                  <c:v>500</c:v>
                </c:pt>
                <c:pt idx="43">
                  <c:v>350</c:v>
                </c:pt>
                <c:pt idx="44">
                  <c:v>500</c:v>
                </c:pt>
                <c:pt idx="45">
                  <c:v>700</c:v>
                </c:pt>
                <c:pt idx="46">
                  <c:v>600</c:v>
                </c:pt>
                <c:pt idx="47">
                  <c:v>400</c:v>
                </c:pt>
                <c:pt idx="48">
                  <c:v>400</c:v>
                </c:pt>
                <c:pt idx="49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39-AF4F-9F0B-9CE11AE83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1005775"/>
        <c:axId val="1361502671"/>
      </c:scatterChart>
      <c:valAx>
        <c:axId val="1331005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Income (Ten Thousands)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502671"/>
        <c:crosses val="autoZero"/>
        <c:crossBetween val="midCat"/>
        <c:dispUnits>
          <c:builtInUnit val="tenThousands"/>
        </c:dispUnits>
      </c:valAx>
      <c:valAx>
        <c:axId val="1361502671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</a:t>
                </a:r>
                <a:r>
                  <a:rPr lang="en-US" baseline="0"/>
                  <a:t> Health Spending per Person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005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Health Spending per Person and Min Income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'Health Spending and Income'!$E$1</c:f>
              <c:strCache>
                <c:ptCount val="1"/>
                <c:pt idx="0">
                  <c:v> avg_health_spending 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5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'Health Spending and Income'!$C$2:$C$51</c:f>
              <c:numCache>
                <c:formatCode>_([$$-409]* #,##0.00_);_([$$-409]* \(#,##0.00\);_([$$-409]* "-"??_);_(@_)</c:formatCode>
                <c:ptCount val="50"/>
                <c:pt idx="0">
                  <c:v>23999</c:v>
                </c:pt>
                <c:pt idx="1">
                  <c:v>35219</c:v>
                </c:pt>
                <c:pt idx="2">
                  <c:v>29466</c:v>
                </c:pt>
                <c:pt idx="3">
                  <c:v>23028</c:v>
                </c:pt>
                <c:pt idx="4">
                  <c:v>37698</c:v>
                </c:pt>
                <c:pt idx="5">
                  <c:v>35636</c:v>
                </c:pt>
                <c:pt idx="6">
                  <c:v>37426</c:v>
                </c:pt>
                <c:pt idx="7">
                  <c:v>30544</c:v>
                </c:pt>
                <c:pt idx="8">
                  <c:v>27064</c:v>
                </c:pt>
                <c:pt idx="9">
                  <c:v>27609</c:v>
                </c:pt>
                <c:pt idx="10">
                  <c:v>36987</c:v>
                </c:pt>
                <c:pt idx="11">
                  <c:v>25119</c:v>
                </c:pt>
                <c:pt idx="12">
                  <c:v>32737</c:v>
                </c:pt>
                <c:pt idx="13">
                  <c:v>27050</c:v>
                </c:pt>
                <c:pt idx="14">
                  <c:v>28709</c:v>
                </c:pt>
                <c:pt idx="15">
                  <c:v>27487</c:v>
                </c:pt>
                <c:pt idx="16">
                  <c:v>23915</c:v>
                </c:pt>
                <c:pt idx="17">
                  <c:v>23855</c:v>
                </c:pt>
                <c:pt idx="18">
                  <c:v>25964</c:v>
                </c:pt>
                <c:pt idx="19">
                  <c:v>42343</c:v>
                </c:pt>
                <c:pt idx="20">
                  <c:v>38980</c:v>
                </c:pt>
                <c:pt idx="21">
                  <c:v>28357</c:v>
                </c:pt>
                <c:pt idx="22">
                  <c:v>33578</c:v>
                </c:pt>
                <c:pt idx="23">
                  <c:v>22732</c:v>
                </c:pt>
                <c:pt idx="24">
                  <c:v>26550</c:v>
                </c:pt>
                <c:pt idx="25">
                  <c:v>25507</c:v>
                </c:pt>
                <c:pt idx="26">
                  <c:v>27458</c:v>
                </c:pt>
                <c:pt idx="27">
                  <c:v>26809</c:v>
                </c:pt>
                <c:pt idx="28">
                  <c:v>38121</c:v>
                </c:pt>
                <c:pt idx="29">
                  <c:v>39625</c:v>
                </c:pt>
                <c:pt idx="30">
                  <c:v>23313</c:v>
                </c:pt>
                <c:pt idx="31">
                  <c:v>33332</c:v>
                </c:pt>
                <c:pt idx="32">
                  <c:v>26202</c:v>
                </c:pt>
                <c:pt idx="33">
                  <c:v>30750</c:v>
                </c:pt>
                <c:pt idx="34">
                  <c:v>27214</c:v>
                </c:pt>
                <c:pt idx="35">
                  <c:v>25018</c:v>
                </c:pt>
                <c:pt idx="36">
                  <c:v>29709</c:v>
                </c:pt>
                <c:pt idx="37">
                  <c:v>30524</c:v>
                </c:pt>
                <c:pt idx="38">
                  <c:v>30811</c:v>
                </c:pt>
                <c:pt idx="39">
                  <c:v>24334</c:v>
                </c:pt>
                <c:pt idx="40">
                  <c:v>26356</c:v>
                </c:pt>
                <c:pt idx="41">
                  <c:v>25885</c:v>
                </c:pt>
                <c:pt idx="42">
                  <c:v>29537</c:v>
                </c:pt>
                <c:pt idx="43">
                  <c:v>33432</c:v>
                </c:pt>
                <c:pt idx="44">
                  <c:v>27663</c:v>
                </c:pt>
                <c:pt idx="45">
                  <c:v>34723</c:v>
                </c:pt>
                <c:pt idx="46">
                  <c:v>36118</c:v>
                </c:pt>
                <c:pt idx="47">
                  <c:v>21967</c:v>
                </c:pt>
                <c:pt idx="48">
                  <c:v>29622</c:v>
                </c:pt>
                <c:pt idx="49">
                  <c:v>28973</c:v>
                </c:pt>
              </c:numCache>
            </c:numRef>
          </c:xVal>
          <c:yVal>
            <c:numRef>
              <c:f>'Health Spending and Income'!$E$2:$E$51</c:f>
              <c:numCache>
                <c:formatCode>_([$$-409]* #,##0.00_);_([$$-409]* \(#,##0.00\);_([$$-409]* "-"??_);_(@_)</c:formatCode>
                <c:ptCount val="50"/>
                <c:pt idx="0">
                  <c:v>200.5</c:v>
                </c:pt>
                <c:pt idx="1">
                  <c:v>300.25</c:v>
                </c:pt>
                <c:pt idx="2">
                  <c:v>150</c:v>
                </c:pt>
                <c:pt idx="3">
                  <c:v>175</c:v>
                </c:pt>
                <c:pt idx="4">
                  <c:v>250.75</c:v>
                </c:pt>
                <c:pt idx="5">
                  <c:v>225.5</c:v>
                </c:pt>
                <c:pt idx="6">
                  <c:v>300</c:v>
                </c:pt>
                <c:pt idx="7">
                  <c:v>175.5</c:v>
                </c:pt>
                <c:pt idx="8">
                  <c:v>175.25</c:v>
                </c:pt>
                <c:pt idx="9">
                  <c:v>200</c:v>
                </c:pt>
                <c:pt idx="10">
                  <c:v>350</c:v>
                </c:pt>
                <c:pt idx="11">
                  <c:v>125.5</c:v>
                </c:pt>
                <c:pt idx="12">
                  <c:v>225.75</c:v>
                </c:pt>
                <c:pt idx="13">
                  <c:v>200.25</c:v>
                </c:pt>
                <c:pt idx="14">
                  <c:v>150</c:v>
                </c:pt>
                <c:pt idx="15">
                  <c:v>175.5</c:v>
                </c:pt>
                <c:pt idx="16">
                  <c:v>175</c:v>
                </c:pt>
                <c:pt idx="17">
                  <c:v>200</c:v>
                </c:pt>
                <c:pt idx="18">
                  <c:v>225.75</c:v>
                </c:pt>
                <c:pt idx="19">
                  <c:v>300</c:v>
                </c:pt>
                <c:pt idx="20">
                  <c:v>350</c:v>
                </c:pt>
                <c:pt idx="21">
                  <c:v>225.5</c:v>
                </c:pt>
                <c:pt idx="22">
                  <c:v>175.5</c:v>
                </c:pt>
                <c:pt idx="23">
                  <c:v>150</c:v>
                </c:pt>
                <c:pt idx="24">
                  <c:v>200.25</c:v>
                </c:pt>
                <c:pt idx="25">
                  <c:v>125.5</c:v>
                </c:pt>
                <c:pt idx="26">
                  <c:v>175.5</c:v>
                </c:pt>
                <c:pt idx="27">
                  <c:v>250.75</c:v>
                </c:pt>
                <c:pt idx="28">
                  <c:v>300</c:v>
                </c:pt>
                <c:pt idx="29">
                  <c:v>350</c:v>
                </c:pt>
                <c:pt idx="30">
                  <c:v>175</c:v>
                </c:pt>
                <c:pt idx="31">
                  <c:v>225.75</c:v>
                </c:pt>
                <c:pt idx="32">
                  <c:v>200</c:v>
                </c:pt>
                <c:pt idx="33">
                  <c:v>150</c:v>
                </c:pt>
                <c:pt idx="34">
                  <c:v>200.25</c:v>
                </c:pt>
                <c:pt idx="35">
                  <c:v>175.5</c:v>
                </c:pt>
                <c:pt idx="36">
                  <c:v>225.5</c:v>
                </c:pt>
                <c:pt idx="37">
                  <c:v>300</c:v>
                </c:pt>
                <c:pt idx="38">
                  <c:v>350</c:v>
                </c:pt>
                <c:pt idx="39">
                  <c:v>200</c:v>
                </c:pt>
                <c:pt idx="40">
                  <c:v>150</c:v>
                </c:pt>
                <c:pt idx="41">
                  <c:v>175.25</c:v>
                </c:pt>
                <c:pt idx="42">
                  <c:v>225.75</c:v>
                </c:pt>
                <c:pt idx="43">
                  <c:v>175.5</c:v>
                </c:pt>
                <c:pt idx="44">
                  <c:v>225.75</c:v>
                </c:pt>
                <c:pt idx="45">
                  <c:v>300</c:v>
                </c:pt>
                <c:pt idx="46">
                  <c:v>250.75</c:v>
                </c:pt>
                <c:pt idx="47">
                  <c:v>175</c:v>
                </c:pt>
                <c:pt idx="48">
                  <c:v>200.25</c:v>
                </c:pt>
                <c:pt idx="49">
                  <c:v>125.5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57-8442-8CC8-EB4DF6680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652527"/>
        <c:axId val="1363928063"/>
      </c:scatterChart>
      <c:valAx>
        <c:axId val="1357652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</a:t>
                </a:r>
                <a:r>
                  <a:rPr lang="en-US" baseline="0"/>
                  <a:t> Income (Ten Thousands)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928063"/>
        <c:crosses val="autoZero"/>
        <c:crossBetween val="midCat"/>
        <c:dispUnits>
          <c:builtInUnit val="tenThousands"/>
        </c:dispUnits>
      </c:valAx>
      <c:valAx>
        <c:axId val="1363928063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Health Spending per Person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652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Min</a:t>
            </a:r>
            <a:r>
              <a:rPr lang="en-US" baseline="0"/>
              <a:t> Health Spending per Person and Min Income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'Health Spending and Income'!$F$1</c:f>
              <c:strCache>
                <c:ptCount val="1"/>
                <c:pt idx="0">
                  <c:v> min_health_spending 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5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'Health Spending and Income'!$C$2:$C$51</c:f>
              <c:numCache>
                <c:formatCode>_([$$-409]* #,##0.00_);_([$$-409]* \(#,##0.00\);_([$$-409]* "-"??_);_(@_)</c:formatCode>
                <c:ptCount val="50"/>
                <c:pt idx="0">
                  <c:v>23999</c:v>
                </c:pt>
                <c:pt idx="1">
                  <c:v>35219</c:v>
                </c:pt>
                <c:pt idx="2">
                  <c:v>29466</c:v>
                </c:pt>
                <c:pt idx="3">
                  <c:v>23028</c:v>
                </c:pt>
                <c:pt idx="4">
                  <c:v>37698</c:v>
                </c:pt>
                <c:pt idx="5">
                  <c:v>35636</c:v>
                </c:pt>
                <c:pt idx="6">
                  <c:v>37426</c:v>
                </c:pt>
                <c:pt idx="7">
                  <c:v>30544</c:v>
                </c:pt>
                <c:pt idx="8">
                  <c:v>27064</c:v>
                </c:pt>
                <c:pt idx="9">
                  <c:v>27609</c:v>
                </c:pt>
                <c:pt idx="10">
                  <c:v>36987</c:v>
                </c:pt>
                <c:pt idx="11">
                  <c:v>25119</c:v>
                </c:pt>
                <c:pt idx="12">
                  <c:v>32737</c:v>
                </c:pt>
                <c:pt idx="13">
                  <c:v>27050</c:v>
                </c:pt>
                <c:pt idx="14">
                  <c:v>28709</c:v>
                </c:pt>
                <c:pt idx="15">
                  <c:v>27487</c:v>
                </c:pt>
                <c:pt idx="16">
                  <c:v>23915</c:v>
                </c:pt>
                <c:pt idx="17">
                  <c:v>23855</c:v>
                </c:pt>
                <c:pt idx="18">
                  <c:v>25964</c:v>
                </c:pt>
                <c:pt idx="19">
                  <c:v>42343</c:v>
                </c:pt>
                <c:pt idx="20">
                  <c:v>38980</c:v>
                </c:pt>
                <c:pt idx="21">
                  <c:v>28357</c:v>
                </c:pt>
                <c:pt idx="22">
                  <c:v>33578</c:v>
                </c:pt>
                <c:pt idx="23">
                  <c:v>22732</c:v>
                </c:pt>
                <c:pt idx="24">
                  <c:v>26550</c:v>
                </c:pt>
                <c:pt idx="25">
                  <c:v>25507</c:v>
                </c:pt>
                <c:pt idx="26">
                  <c:v>27458</c:v>
                </c:pt>
                <c:pt idx="27">
                  <c:v>26809</c:v>
                </c:pt>
                <c:pt idx="28">
                  <c:v>38121</c:v>
                </c:pt>
                <c:pt idx="29">
                  <c:v>39625</c:v>
                </c:pt>
                <c:pt idx="30">
                  <c:v>23313</c:v>
                </c:pt>
                <c:pt idx="31">
                  <c:v>33332</c:v>
                </c:pt>
                <c:pt idx="32">
                  <c:v>26202</c:v>
                </c:pt>
                <c:pt idx="33">
                  <c:v>30750</c:v>
                </c:pt>
                <c:pt idx="34">
                  <c:v>27214</c:v>
                </c:pt>
                <c:pt idx="35">
                  <c:v>25018</c:v>
                </c:pt>
                <c:pt idx="36">
                  <c:v>29709</c:v>
                </c:pt>
                <c:pt idx="37">
                  <c:v>30524</c:v>
                </c:pt>
                <c:pt idx="38">
                  <c:v>30811</c:v>
                </c:pt>
                <c:pt idx="39">
                  <c:v>24334</c:v>
                </c:pt>
                <c:pt idx="40">
                  <c:v>26356</c:v>
                </c:pt>
                <c:pt idx="41">
                  <c:v>25885</c:v>
                </c:pt>
                <c:pt idx="42">
                  <c:v>29537</c:v>
                </c:pt>
                <c:pt idx="43">
                  <c:v>33432</c:v>
                </c:pt>
                <c:pt idx="44">
                  <c:v>27663</c:v>
                </c:pt>
                <c:pt idx="45">
                  <c:v>34723</c:v>
                </c:pt>
                <c:pt idx="46">
                  <c:v>36118</c:v>
                </c:pt>
                <c:pt idx="47">
                  <c:v>21967</c:v>
                </c:pt>
                <c:pt idx="48">
                  <c:v>29622</c:v>
                </c:pt>
                <c:pt idx="49">
                  <c:v>28973</c:v>
                </c:pt>
              </c:numCache>
            </c:numRef>
          </c:xVal>
          <c:yVal>
            <c:numRef>
              <c:f>'Health Spending and Income'!$F$2:$F$51</c:f>
              <c:numCache>
                <c:formatCode>_([$$-409]* #,##0.00_);_([$$-409]* \(#,##0.00\);_([$$-409]* "-"??_);_(@_)</c:formatCode>
                <c:ptCount val="50"/>
                <c:pt idx="0">
                  <c:v>50</c:v>
                </c:pt>
                <c:pt idx="1">
                  <c:v>100</c:v>
                </c:pt>
                <c:pt idx="2">
                  <c:v>25</c:v>
                </c:pt>
                <c:pt idx="3">
                  <c:v>75</c:v>
                </c:pt>
                <c:pt idx="4">
                  <c:v>50</c:v>
                </c:pt>
                <c:pt idx="5">
                  <c:v>100</c:v>
                </c:pt>
                <c:pt idx="6">
                  <c:v>150</c:v>
                </c:pt>
                <c:pt idx="7">
                  <c:v>75</c:v>
                </c:pt>
                <c:pt idx="8">
                  <c:v>50</c:v>
                </c:pt>
                <c:pt idx="9">
                  <c:v>75</c:v>
                </c:pt>
                <c:pt idx="10">
                  <c:v>200</c:v>
                </c:pt>
                <c:pt idx="11">
                  <c:v>50</c:v>
                </c:pt>
                <c:pt idx="12">
                  <c:v>100</c:v>
                </c:pt>
                <c:pt idx="13">
                  <c:v>75</c:v>
                </c:pt>
                <c:pt idx="14">
                  <c:v>50</c:v>
                </c:pt>
                <c:pt idx="15">
                  <c:v>50</c:v>
                </c:pt>
                <c:pt idx="16">
                  <c:v>75</c:v>
                </c:pt>
                <c:pt idx="17">
                  <c:v>75</c:v>
                </c:pt>
                <c:pt idx="18">
                  <c:v>100</c:v>
                </c:pt>
                <c:pt idx="19">
                  <c:v>150</c:v>
                </c:pt>
                <c:pt idx="20">
                  <c:v>200</c:v>
                </c:pt>
                <c:pt idx="21">
                  <c:v>100</c:v>
                </c:pt>
                <c:pt idx="22">
                  <c:v>75</c:v>
                </c:pt>
                <c:pt idx="23">
                  <c:v>25</c:v>
                </c:pt>
                <c:pt idx="24">
                  <c:v>75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150</c:v>
                </c:pt>
                <c:pt idx="29">
                  <c:v>200</c:v>
                </c:pt>
                <c:pt idx="30">
                  <c:v>75</c:v>
                </c:pt>
                <c:pt idx="31">
                  <c:v>100</c:v>
                </c:pt>
                <c:pt idx="32">
                  <c:v>75</c:v>
                </c:pt>
                <c:pt idx="33">
                  <c:v>50</c:v>
                </c:pt>
                <c:pt idx="34">
                  <c:v>75</c:v>
                </c:pt>
                <c:pt idx="35">
                  <c:v>50</c:v>
                </c:pt>
                <c:pt idx="36">
                  <c:v>100</c:v>
                </c:pt>
                <c:pt idx="37">
                  <c:v>150</c:v>
                </c:pt>
                <c:pt idx="38">
                  <c:v>200</c:v>
                </c:pt>
                <c:pt idx="39">
                  <c:v>75</c:v>
                </c:pt>
                <c:pt idx="40">
                  <c:v>50</c:v>
                </c:pt>
                <c:pt idx="41">
                  <c:v>50</c:v>
                </c:pt>
                <c:pt idx="42">
                  <c:v>100</c:v>
                </c:pt>
                <c:pt idx="43">
                  <c:v>50</c:v>
                </c:pt>
                <c:pt idx="44">
                  <c:v>100</c:v>
                </c:pt>
                <c:pt idx="45">
                  <c:v>150</c:v>
                </c:pt>
                <c:pt idx="46">
                  <c:v>50</c:v>
                </c:pt>
                <c:pt idx="47">
                  <c:v>75</c:v>
                </c:pt>
                <c:pt idx="48">
                  <c:v>75</c:v>
                </c:pt>
                <c:pt idx="49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C0-BF40-9D2C-A0B32CC09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1803295"/>
        <c:axId val="1352164127"/>
      </c:scatterChart>
      <c:valAx>
        <c:axId val="1351803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</a:t>
                </a:r>
                <a:r>
                  <a:rPr lang="en-US" baseline="0"/>
                  <a:t> Income (Ten Thousands)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164127"/>
        <c:crosses val="autoZero"/>
        <c:crossBetween val="midCat"/>
        <c:dispUnits>
          <c:builtInUnit val="tenThousands"/>
        </c:dispUnits>
      </c:valAx>
      <c:valAx>
        <c:axId val="1352164127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</a:t>
                </a:r>
                <a:r>
                  <a:rPr lang="en-US" baseline="0"/>
                  <a:t> Health Spending per Person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803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Health Spending per Person and Min Income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'Health Spending and Income'!$G$1</c:f>
              <c:strCache>
                <c:ptCount val="1"/>
                <c:pt idx="0">
                  <c:v> max_health_spending 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5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'Health Spending and Income'!$C$2:$C$51</c:f>
              <c:numCache>
                <c:formatCode>_([$$-409]* #,##0.00_);_([$$-409]* \(#,##0.00\);_([$$-409]* "-"??_);_(@_)</c:formatCode>
                <c:ptCount val="50"/>
                <c:pt idx="0">
                  <c:v>23999</c:v>
                </c:pt>
                <c:pt idx="1">
                  <c:v>35219</c:v>
                </c:pt>
                <c:pt idx="2">
                  <c:v>29466</c:v>
                </c:pt>
                <c:pt idx="3">
                  <c:v>23028</c:v>
                </c:pt>
                <c:pt idx="4">
                  <c:v>37698</c:v>
                </c:pt>
                <c:pt idx="5">
                  <c:v>35636</c:v>
                </c:pt>
                <c:pt idx="6">
                  <c:v>37426</c:v>
                </c:pt>
                <c:pt idx="7">
                  <c:v>30544</c:v>
                </c:pt>
                <c:pt idx="8">
                  <c:v>27064</c:v>
                </c:pt>
                <c:pt idx="9">
                  <c:v>27609</c:v>
                </c:pt>
                <c:pt idx="10">
                  <c:v>36987</c:v>
                </c:pt>
                <c:pt idx="11">
                  <c:v>25119</c:v>
                </c:pt>
                <c:pt idx="12">
                  <c:v>32737</c:v>
                </c:pt>
                <c:pt idx="13">
                  <c:v>27050</c:v>
                </c:pt>
                <c:pt idx="14">
                  <c:v>28709</c:v>
                </c:pt>
                <c:pt idx="15">
                  <c:v>27487</c:v>
                </c:pt>
                <c:pt idx="16">
                  <c:v>23915</c:v>
                </c:pt>
                <c:pt idx="17">
                  <c:v>23855</c:v>
                </c:pt>
                <c:pt idx="18">
                  <c:v>25964</c:v>
                </c:pt>
                <c:pt idx="19">
                  <c:v>42343</c:v>
                </c:pt>
                <c:pt idx="20">
                  <c:v>38980</c:v>
                </c:pt>
                <c:pt idx="21">
                  <c:v>28357</c:v>
                </c:pt>
                <c:pt idx="22">
                  <c:v>33578</c:v>
                </c:pt>
                <c:pt idx="23">
                  <c:v>22732</c:v>
                </c:pt>
                <c:pt idx="24">
                  <c:v>26550</c:v>
                </c:pt>
                <c:pt idx="25">
                  <c:v>25507</c:v>
                </c:pt>
                <c:pt idx="26">
                  <c:v>27458</c:v>
                </c:pt>
                <c:pt idx="27">
                  <c:v>26809</c:v>
                </c:pt>
                <c:pt idx="28">
                  <c:v>38121</c:v>
                </c:pt>
                <c:pt idx="29">
                  <c:v>39625</c:v>
                </c:pt>
                <c:pt idx="30">
                  <c:v>23313</c:v>
                </c:pt>
                <c:pt idx="31">
                  <c:v>33332</c:v>
                </c:pt>
                <c:pt idx="32">
                  <c:v>26202</c:v>
                </c:pt>
                <c:pt idx="33">
                  <c:v>30750</c:v>
                </c:pt>
                <c:pt idx="34">
                  <c:v>27214</c:v>
                </c:pt>
                <c:pt idx="35">
                  <c:v>25018</c:v>
                </c:pt>
                <c:pt idx="36">
                  <c:v>29709</c:v>
                </c:pt>
                <c:pt idx="37">
                  <c:v>30524</c:v>
                </c:pt>
                <c:pt idx="38">
                  <c:v>30811</c:v>
                </c:pt>
                <c:pt idx="39">
                  <c:v>24334</c:v>
                </c:pt>
                <c:pt idx="40">
                  <c:v>26356</c:v>
                </c:pt>
                <c:pt idx="41">
                  <c:v>25885</c:v>
                </c:pt>
                <c:pt idx="42">
                  <c:v>29537</c:v>
                </c:pt>
                <c:pt idx="43">
                  <c:v>33432</c:v>
                </c:pt>
                <c:pt idx="44">
                  <c:v>27663</c:v>
                </c:pt>
                <c:pt idx="45">
                  <c:v>34723</c:v>
                </c:pt>
                <c:pt idx="46">
                  <c:v>36118</c:v>
                </c:pt>
                <c:pt idx="47">
                  <c:v>21967</c:v>
                </c:pt>
                <c:pt idx="48">
                  <c:v>29622</c:v>
                </c:pt>
                <c:pt idx="49">
                  <c:v>28973</c:v>
                </c:pt>
              </c:numCache>
            </c:numRef>
          </c:xVal>
          <c:yVal>
            <c:numRef>
              <c:f>'Health Spending and Income'!$G$2:$G$51</c:f>
              <c:numCache>
                <c:formatCode>_([$$-409]* #,##0.00_);_([$$-409]* \(#,##0.00\);_([$$-409]* "-"??_);_(@_)</c:formatCode>
                <c:ptCount val="50"/>
                <c:pt idx="0">
                  <c:v>500</c:v>
                </c:pt>
                <c:pt idx="1">
                  <c:v>750</c:v>
                </c:pt>
                <c:pt idx="2">
                  <c:v>300</c:v>
                </c:pt>
                <c:pt idx="3">
                  <c:v>400</c:v>
                </c:pt>
                <c:pt idx="4">
                  <c:v>600</c:v>
                </c:pt>
                <c:pt idx="5">
                  <c:v>500</c:v>
                </c:pt>
                <c:pt idx="6">
                  <c:v>700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800</c:v>
                </c:pt>
                <c:pt idx="11">
                  <c:v>300</c:v>
                </c:pt>
                <c:pt idx="12">
                  <c:v>500</c:v>
                </c:pt>
                <c:pt idx="13">
                  <c:v>400</c:v>
                </c:pt>
                <c:pt idx="14">
                  <c:v>250</c:v>
                </c:pt>
                <c:pt idx="15">
                  <c:v>350</c:v>
                </c:pt>
                <c:pt idx="16">
                  <c:v>400</c:v>
                </c:pt>
                <c:pt idx="17">
                  <c:v>450</c:v>
                </c:pt>
                <c:pt idx="18">
                  <c:v>500</c:v>
                </c:pt>
                <c:pt idx="19">
                  <c:v>700</c:v>
                </c:pt>
                <c:pt idx="20">
                  <c:v>800</c:v>
                </c:pt>
                <c:pt idx="21">
                  <c:v>500</c:v>
                </c:pt>
                <c:pt idx="22">
                  <c:v>400</c:v>
                </c:pt>
                <c:pt idx="23">
                  <c:v>300</c:v>
                </c:pt>
                <c:pt idx="24">
                  <c:v>400</c:v>
                </c:pt>
                <c:pt idx="25">
                  <c:v>300</c:v>
                </c:pt>
                <c:pt idx="26">
                  <c:v>350</c:v>
                </c:pt>
                <c:pt idx="27">
                  <c:v>600</c:v>
                </c:pt>
                <c:pt idx="28">
                  <c:v>700</c:v>
                </c:pt>
                <c:pt idx="29">
                  <c:v>800</c:v>
                </c:pt>
                <c:pt idx="30">
                  <c:v>400</c:v>
                </c:pt>
                <c:pt idx="31">
                  <c:v>500</c:v>
                </c:pt>
                <c:pt idx="32">
                  <c:v>450</c:v>
                </c:pt>
                <c:pt idx="33">
                  <c:v>250</c:v>
                </c:pt>
                <c:pt idx="34">
                  <c:v>400</c:v>
                </c:pt>
                <c:pt idx="35">
                  <c:v>350</c:v>
                </c:pt>
                <c:pt idx="36">
                  <c:v>500</c:v>
                </c:pt>
                <c:pt idx="37">
                  <c:v>700</c:v>
                </c:pt>
                <c:pt idx="38">
                  <c:v>800</c:v>
                </c:pt>
                <c:pt idx="39">
                  <c:v>450</c:v>
                </c:pt>
                <c:pt idx="40">
                  <c:v>250</c:v>
                </c:pt>
                <c:pt idx="41">
                  <c:v>400</c:v>
                </c:pt>
                <c:pt idx="42">
                  <c:v>500</c:v>
                </c:pt>
                <c:pt idx="43">
                  <c:v>350</c:v>
                </c:pt>
                <c:pt idx="44">
                  <c:v>500</c:v>
                </c:pt>
                <c:pt idx="45">
                  <c:v>700</c:v>
                </c:pt>
                <c:pt idx="46">
                  <c:v>600</c:v>
                </c:pt>
                <c:pt idx="47">
                  <c:v>400</c:v>
                </c:pt>
                <c:pt idx="48">
                  <c:v>400</c:v>
                </c:pt>
                <c:pt idx="49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AC-104D-A140-B9DEA958E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440879"/>
        <c:axId val="1367076095"/>
      </c:scatterChart>
      <c:valAx>
        <c:axId val="1366440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</a:t>
                </a:r>
                <a:r>
                  <a:rPr lang="en-US" baseline="0"/>
                  <a:t> Income (Ten Thousands)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076095"/>
        <c:crosses val="autoZero"/>
        <c:crossBetween val="midCat"/>
        <c:dispUnits>
          <c:builtInUnit val="tenThousands"/>
        </c:dispUnits>
      </c:valAx>
      <c:valAx>
        <c:axId val="1367076095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</a:t>
                </a:r>
                <a:r>
                  <a:rPr lang="en-US" baseline="0"/>
                  <a:t> Health Spending per Person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440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Health Spending per Person and Max Income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'Health Spending and Income'!$E$1</c:f>
              <c:strCache>
                <c:ptCount val="1"/>
                <c:pt idx="0">
                  <c:v> avg_health_spending 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5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'Health Spending and Income'!$D$2:$D$51</c:f>
              <c:numCache>
                <c:formatCode>_([$$-409]* #,##0.00_);_([$$-409]* \(#,##0.00\);_([$$-409]* "-"??_);_(@_)</c:formatCode>
                <c:ptCount val="50"/>
                <c:pt idx="0">
                  <c:v>96993</c:v>
                </c:pt>
                <c:pt idx="1">
                  <c:v>134318</c:v>
                </c:pt>
                <c:pt idx="2">
                  <c:v>113589</c:v>
                </c:pt>
                <c:pt idx="3">
                  <c:v>90052</c:v>
                </c:pt>
                <c:pt idx="4">
                  <c:v>149265</c:v>
                </c:pt>
                <c:pt idx="5">
                  <c:v>130714</c:v>
                </c:pt>
                <c:pt idx="6">
                  <c:v>142596</c:v>
                </c:pt>
                <c:pt idx="7">
                  <c:v>120324</c:v>
                </c:pt>
                <c:pt idx="8">
                  <c:v>105773</c:v>
                </c:pt>
                <c:pt idx="9">
                  <c:v>112609</c:v>
                </c:pt>
                <c:pt idx="10">
                  <c:v>130299</c:v>
                </c:pt>
                <c:pt idx="11">
                  <c:v>92625</c:v>
                </c:pt>
                <c:pt idx="12">
                  <c:v>126359</c:v>
                </c:pt>
                <c:pt idx="13">
                  <c:v>97462</c:v>
                </c:pt>
                <c:pt idx="14">
                  <c:v>101572</c:v>
                </c:pt>
                <c:pt idx="15">
                  <c:v>100276</c:v>
                </c:pt>
                <c:pt idx="16">
                  <c:v>88278</c:v>
                </c:pt>
                <c:pt idx="17">
                  <c:v>93827</c:v>
                </c:pt>
                <c:pt idx="18">
                  <c:v>98362</c:v>
                </c:pt>
                <c:pt idx="19">
                  <c:v>167535</c:v>
                </c:pt>
                <c:pt idx="20">
                  <c:v>144960</c:v>
                </c:pt>
                <c:pt idx="21">
                  <c:v>111915</c:v>
                </c:pt>
                <c:pt idx="22">
                  <c:v>124913</c:v>
                </c:pt>
                <c:pt idx="23">
                  <c:v>81693</c:v>
                </c:pt>
                <c:pt idx="24">
                  <c:v>93281</c:v>
                </c:pt>
                <c:pt idx="25">
                  <c:v>91862</c:v>
                </c:pt>
                <c:pt idx="26">
                  <c:v>100060</c:v>
                </c:pt>
                <c:pt idx="27">
                  <c:v>112808</c:v>
                </c:pt>
                <c:pt idx="28">
                  <c:v>138525</c:v>
                </c:pt>
                <c:pt idx="29">
                  <c:v>161372</c:v>
                </c:pt>
                <c:pt idx="30">
                  <c:v>78605</c:v>
                </c:pt>
                <c:pt idx="31">
                  <c:v>128558</c:v>
                </c:pt>
                <c:pt idx="32">
                  <c:v>92266</c:v>
                </c:pt>
                <c:pt idx="33">
                  <c:v>95621</c:v>
                </c:pt>
                <c:pt idx="34">
                  <c:v>97224</c:v>
                </c:pt>
                <c:pt idx="35">
                  <c:v>87833</c:v>
                </c:pt>
                <c:pt idx="36">
                  <c:v>120548</c:v>
                </c:pt>
                <c:pt idx="37">
                  <c:v>119394</c:v>
                </c:pt>
                <c:pt idx="38">
                  <c:v>128555</c:v>
                </c:pt>
                <c:pt idx="39">
                  <c:v>96505</c:v>
                </c:pt>
                <c:pt idx="40">
                  <c:v>90226</c:v>
                </c:pt>
                <c:pt idx="41">
                  <c:v>98512</c:v>
                </c:pt>
                <c:pt idx="42">
                  <c:v>116343</c:v>
                </c:pt>
                <c:pt idx="43">
                  <c:v>130461</c:v>
                </c:pt>
                <c:pt idx="44">
                  <c:v>104926</c:v>
                </c:pt>
                <c:pt idx="45">
                  <c:v>151753</c:v>
                </c:pt>
                <c:pt idx="46">
                  <c:v>142957</c:v>
                </c:pt>
                <c:pt idx="47">
                  <c:v>85459</c:v>
                </c:pt>
                <c:pt idx="48">
                  <c:v>117154</c:v>
                </c:pt>
                <c:pt idx="49">
                  <c:v>104732</c:v>
                </c:pt>
              </c:numCache>
            </c:numRef>
          </c:xVal>
          <c:yVal>
            <c:numRef>
              <c:f>'Health Spending and Income'!$E$2:$E$51</c:f>
              <c:numCache>
                <c:formatCode>_([$$-409]* #,##0.00_);_([$$-409]* \(#,##0.00\);_([$$-409]* "-"??_);_(@_)</c:formatCode>
                <c:ptCount val="50"/>
                <c:pt idx="0">
                  <c:v>200.5</c:v>
                </c:pt>
                <c:pt idx="1">
                  <c:v>300.25</c:v>
                </c:pt>
                <c:pt idx="2">
                  <c:v>150</c:v>
                </c:pt>
                <c:pt idx="3">
                  <c:v>175</c:v>
                </c:pt>
                <c:pt idx="4">
                  <c:v>250.75</c:v>
                </c:pt>
                <c:pt idx="5">
                  <c:v>225.5</c:v>
                </c:pt>
                <c:pt idx="6">
                  <c:v>300</c:v>
                </c:pt>
                <c:pt idx="7">
                  <c:v>175.5</c:v>
                </c:pt>
                <c:pt idx="8">
                  <c:v>175.25</c:v>
                </c:pt>
                <c:pt idx="9">
                  <c:v>200</c:v>
                </c:pt>
                <c:pt idx="10">
                  <c:v>350</c:v>
                </c:pt>
                <c:pt idx="11">
                  <c:v>125.5</c:v>
                </c:pt>
                <c:pt idx="12">
                  <c:v>225.75</c:v>
                </c:pt>
                <c:pt idx="13">
                  <c:v>200.25</c:v>
                </c:pt>
                <c:pt idx="14">
                  <c:v>150</c:v>
                </c:pt>
                <c:pt idx="15">
                  <c:v>175.5</c:v>
                </c:pt>
                <c:pt idx="16">
                  <c:v>175</c:v>
                </c:pt>
                <c:pt idx="17">
                  <c:v>200</c:v>
                </c:pt>
                <c:pt idx="18">
                  <c:v>225.75</c:v>
                </c:pt>
                <c:pt idx="19">
                  <c:v>300</c:v>
                </c:pt>
                <c:pt idx="20">
                  <c:v>350</c:v>
                </c:pt>
                <c:pt idx="21">
                  <c:v>225.5</c:v>
                </c:pt>
                <c:pt idx="22">
                  <c:v>175.5</c:v>
                </c:pt>
                <c:pt idx="23">
                  <c:v>150</c:v>
                </c:pt>
                <c:pt idx="24">
                  <c:v>200.25</c:v>
                </c:pt>
                <c:pt idx="25">
                  <c:v>125.5</c:v>
                </c:pt>
                <c:pt idx="26">
                  <c:v>175.5</c:v>
                </c:pt>
                <c:pt idx="27">
                  <c:v>250.75</c:v>
                </c:pt>
                <c:pt idx="28">
                  <c:v>300</c:v>
                </c:pt>
                <c:pt idx="29">
                  <c:v>350</c:v>
                </c:pt>
                <c:pt idx="30">
                  <c:v>175</c:v>
                </c:pt>
                <c:pt idx="31">
                  <c:v>225.75</c:v>
                </c:pt>
                <c:pt idx="32">
                  <c:v>200</c:v>
                </c:pt>
                <c:pt idx="33">
                  <c:v>150</c:v>
                </c:pt>
                <c:pt idx="34">
                  <c:v>200.25</c:v>
                </c:pt>
                <c:pt idx="35">
                  <c:v>175.5</c:v>
                </c:pt>
                <c:pt idx="36">
                  <c:v>225.5</c:v>
                </c:pt>
                <c:pt idx="37">
                  <c:v>300</c:v>
                </c:pt>
                <c:pt idx="38">
                  <c:v>350</c:v>
                </c:pt>
                <c:pt idx="39">
                  <c:v>200</c:v>
                </c:pt>
                <c:pt idx="40">
                  <c:v>150</c:v>
                </c:pt>
                <c:pt idx="41">
                  <c:v>175.25</c:v>
                </c:pt>
                <c:pt idx="42">
                  <c:v>225.75</c:v>
                </c:pt>
                <c:pt idx="43">
                  <c:v>175.5</c:v>
                </c:pt>
                <c:pt idx="44">
                  <c:v>225.75</c:v>
                </c:pt>
                <c:pt idx="45">
                  <c:v>300</c:v>
                </c:pt>
                <c:pt idx="46">
                  <c:v>250.75</c:v>
                </c:pt>
                <c:pt idx="47">
                  <c:v>175</c:v>
                </c:pt>
                <c:pt idx="48">
                  <c:v>200.25</c:v>
                </c:pt>
                <c:pt idx="49">
                  <c:v>125.5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75-3146-AFFD-8DA7FA968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411983"/>
        <c:axId val="1393398415"/>
      </c:scatterChart>
      <c:valAx>
        <c:axId val="1396411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</a:t>
                </a:r>
                <a:r>
                  <a:rPr lang="en-US" baseline="0"/>
                  <a:t> Income (Ten Thousands)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398415"/>
        <c:crosses val="autoZero"/>
        <c:crossBetween val="midCat"/>
        <c:dispUnits>
          <c:builtInUnit val="tenThousands"/>
        </c:dispUnits>
      </c:valAx>
      <c:valAx>
        <c:axId val="1393398415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Health Spending per Person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411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Min</a:t>
            </a:r>
            <a:r>
              <a:rPr lang="en-US" baseline="0"/>
              <a:t> Health Spending and Max Income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'Health Spending and Income'!$F$1</c:f>
              <c:strCache>
                <c:ptCount val="1"/>
                <c:pt idx="0">
                  <c:v> min_health_spending 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5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'Health Spending and Income'!$D$2:$D$51</c:f>
              <c:numCache>
                <c:formatCode>_([$$-409]* #,##0.00_);_([$$-409]* \(#,##0.00\);_([$$-409]* "-"??_);_(@_)</c:formatCode>
                <c:ptCount val="50"/>
                <c:pt idx="0">
                  <c:v>96993</c:v>
                </c:pt>
                <c:pt idx="1">
                  <c:v>134318</c:v>
                </c:pt>
                <c:pt idx="2">
                  <c:v>113589</c:v>
                </c:pt>
                <c:pt idx="3">
                  <c:v>90052</c:v>
                </c:pt>
                <c:pt idx="4">
                  <c:v>149265</c:v>
                </c:pt>
                <c:pt idx="5">
                  <c:v>130714</c:v>
                </c:pt>
                <c:pt idx="6">
                  <c:v>142596</c:v>
                </c:pt>
                <c:pt idx="7">
                  <c:v>120324</c:v>
                </c:pt>
                <c:pt idx="8">
                  <c:v>105773</c:v>
                </c:pt>
                <c:pt idx="9">
                  <c:v>112609</c:v>
                </c:pt>
                <c:pt idx="10">
                  <c:v>130299</c:v>
                </c:pt>
                <c:pt idx="11">
                  <c:v>92625</c:v>
                </c:pt>
                <c:pt idx="12">
                  <c:v>126359</c:v>
                </c:pt>
                <c:pt idx="13">
                  <c:v>97462</c:v>
                </c:pt>
                <c:pt idx="14">
                  <c:v>101572</c:v>
                </c:pt>
                <c:pt idx="15">
                  <c:v>100276</c:v>
                </c:pt>
                <c:pt idx="16">
                  <c:v>88278</c:v>
                </c:pt>
                <c:pt idx="17">
                  <c:v>93827</c:v>
                </c:pt>
                <c:pt idx="18">
                  <c:v>98362</c:v>
                </c:pt>
                <c:pt idx="19">
                  <c:v>167535</c:v>
                </c:pt>
                <c:pt idx="20">
                  <c:v>144960</c:v>
                </c:pt>
                <c:pt idx="21">
                  <c:v>111915</c:v>
                </c:pt>
                <c:pt idx="22">
                  <c:v>124913</c:v>
                </c:pt>
                <c:pt idx="23">
                  <c:v>81693</c:v>
                </c:pt>
                <c:pt idx="24">
                  <c:v>93281</c:v>
                </c:pt>
                <c:pt idx="25">
                  <c:v>91862</c:v>
                </c:pt>
                <c:pt idx="26">
                  <c:v>100060</c:v>
                </c:pt>
                <c:pt idx="27">
                  <c:v>112808</c:v>
                </c:pt>
                <c:pt idx="28">
                  <c:v>138525</c:v>
                </c:pt>
                <c:pt idx="29">
                  <c:v>161372</c:v>
                </c:pt>
                <c:pt idx="30">
                  <c:v>78605</c:v>
                </c:pt>
                <c:pt idx="31">
                  <c:v>128558</c:v>
                </c:pt>
                <c:pt idx="32">
                  <c:v>92266</c:v>
                </c:pt>
                <c:pt idx="33">
                  <c:v>95621</c:v>
                </c:pt>
                <c:pt idx="34">
                  <c:v>97224</c:v>
                </c:pt>
                <c:pt idx="35">
                  <c:v>87833</c:v>
                </c:pt>
                <c:pt idx="36">
                  <c:v>120548</c:v>
                </c:pt>
                <c:pt idx="37">
                  <c:v>119394</c:v>
                </c:pt>
                <c:pt idx="38">
                  <c:v>128555</c:v>
                </c:pt>
                <c:pt idx="39">
                  <c:v>96505</c:v>
                </c:pt>
                <c:pt idx="40">
                  <c:v>90226</c:v>
                </c:pt>
                <c:pt idx="41">
                  <c:v>98512</c:v>
                </c:pt>
                <c:pt idx="42">
                  <c:v>116343</c:v>
                </c:pt>
                <c:pt idx="43">
                  <c:v>130461</c:v>
                </c:pt>
                <c:pt idx="44">
                  <c:v>104926</c:v>
                </c:pt>
                <c:pt idx="45">
                  <c:v>151753</c:v>
                </c:pt>
                <c:pt idx="46">
                  <c:v>142957</c:v>
                </c:pt>
                <c:pt idx="47">
                  <c:v>85459</c:v>
                </c:pt>
                <c:pt idx="48">
                  <c:v>117154</c:v>
                </c:pt>
                <c:pt idx="49">
                  <c:v>104732</c:v>
                </c:pt>
              </c:numCache>
            </c:numRef>
          </c:xVal>
          <c:yVal>
            <c:numRef>
              <c:f>'Health Spending and Income'!$F$2:$F$51</c:f>
              <c:numCache>
                <c:formatCode>_([$$-409]* #,##0.00_);_([$$-409]* \(#,##0.00\);_([$$-409]* "-"??_);_(@_)</c:formatCode>
                <c:ptCount val="50"/>
                <c:pt idx="0">
                  <c:v>50</c:v>
                </c:pt>
                <c:pt idx="1">
                  <c:v>100</c:v>
                </c:pt>
                <c:pt idx="2">
                  <c:v>25</c:v>
                </c:pt>
                <c:pt idx="3">
                  <c:v>75</c:v>
                </c:pt>
                <c:pt idx="4">
                  <c:v>50</c:v>
                </c:pt>
                <c:pt idx="5">
                  <c:v>100</c:v>
                </c:pt>
                <c:pt idx="6">
                  <c:v>150</c:v>
                </c:pt>
                <c:pt idx="7">
                  <c:v>75</c:v>
                </c:pt>
                <c:pt idx="8">
                  <c:v>50</c:v>
                </c:pt>
                <c:pt idx="9">
                  <c:v>75</c:v>
                </c:pt>
                <c:pt idx="10">
                  <c:v>200</c:v>
                </c:pt>
                <c:pt idx="11">
                  <c:v>50</c:v>
                </c:pt>
                <c:pt idx="12">
                  <c:v>100</c:v>
                </c:pt>
                <c:pt idx="13">
                  <c:v>75</c:v>
                </c:pt>
                <c:pt idx="14">
                  <c:v>50</c:v>
                </c:pt>
                <c:pt idx="15">
                  <c:v>50</c:v>
                </c:pt>
                <c:pt idx="16">
                  <c:v>75</c:v>
                </c:pt>
                <c:pt idx="17">
                  <c:v>75</c:v>
                </c:pt>
                <c:pt idx="18">
                  <c:v>100</c:v>
                </c:pt>
                <c:pt idx="19">
                  <c:v>150</c:v>
                </c:pt>
                <c:pt idx="20">
                  <c:v>200</c:v>
                </c:pt>
                <c:pt idx="21">
                  <c:v>100</c:v>
                </c:pt>
                <c:pt idx="22">
                  <c:v>75</c:v>
                </c:pt>
                <c:pt idx="23">
                  <c:v>25</c:v>
                </c:pt>
                <c:pt idx="24">
                  <c:v>75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150</c:v>
                </c:pt>
                <c:pt idx="29">
                  <c:v>200</c:v>
                </c:pt>
                <c:pt idx="30">
                  <c:v>75</c:v>
                </c:pt>
                <c:pt idx="31">
                  <c:v>100</c:v>
                </c:pt>
                <c:pt idx="32">
                  <c:v>75</c:v>
                </c:pt>
                <c:pt idx="33">
                  <c:v>50</c:v>
                </c:pt>
                <c:pt idx="34">
                  <c:v>75</c:v>
                </c:pt>
                <c:pt idx="35">
                  <c:v>50</c:v>
                </c:pt>
                <c:pt idx="36">
                  <c:v>100</c:v>
                </c:pt>
                <c:pt idx="37">
                  <c:v>150</c:v>
                </c:pt>
                <c:pt idx="38">
                  <c:v>200</c:v>
                </c:pt>
                <c:pt idx="39">
                  <c:v>75</c:v>
                </c:pt>
                <c:pt idx="40">
                  <c:v>50</c:v>
                </c:pt>
                <c:pt idx="41">
                  <c:v>50</c:v>
                </c:pt>
                <c:pt idx="42">
                  <c:v>100</c:v>
                </c:pt>
                <c:pt idx="43">
                  <c:v>50</c:v>
                </c:pt>
                <c:pt idx="44">
                  <c:v>100</c:v>
                </c:pt>
                <c:pt idx="45">
                  <c:v>150</c:v>
                </c:pt>
                <c:pt idx="46">
                  <c:v>50</c:v>
                </c:pt>
                <c:pt idx="47">
                  <c:v>75</c:v>
                </c:pt>
                <c:pt idx="48">
                  <c:v>75</c:v>
                </c:pt>
                <c:pt idx="49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31-6E47-9E6A-FFBF91D95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712255"/>
        <c:axId val="1444701759"/>
      </c:scatterChart>
      <c:valAx>
        <c:axId val="1424712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</a:t>
                </a:r>
                <a:r>
                  <a:rPr lang="en-US" baseline="0"/>
                  <a:t> Income (Ten Thousands)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701759"/>
        <c:crosses val="autoZero"/>
        <c:crossBetween val="midCat"/>
        <c:dispUnits>
          <c:builtInUnit val="tenThousands"/>
        </c:dispUnits>
      </c:valAx>
      <c:valAx>
        <c:axId val="1444701759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</a:t>
                </a:r>
                <a:r>
                  <a:rPr lang="en-US" baseline="0"/>
                  <a:t> Health Spending per Person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712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Health Spending and Max Income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'Health Spending and Income'!$G$1</c:f>
              <c:strCache>
                <c:ptCount val="1"/>
                <c:pt idx="0">
                  <c:v> max_health_spending 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5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'Health Spending and Income'!$D$2:$D$51</c:f>
              <c:numCache>
                <c:formatCode>_([$$-409]* #,##0.00_);_([$$-409]* \(#,##0.00\);_([$$-409]* "-"??_);_(@_)</c:formatCode>
                <c:ptCount val="50"/>
                <c:pt idx="0">
                  <c:v>96993</c:v>
                </c:pt>
                <c:pt idx="1">
                  <c:v>134318</c:v>
                </c:pt>
                <c:pt idx="2">
                  <c:v>113589</c:v>
                </c:pt>
                <c:pt idx="3">
                  <c:v>90052</c:v>
                </c:pt>
                <c:pt idx="4">
                  <c:v>149265</c:v>
                </c:pt>
                <c:pt idx="5">
                  <c:v>130714</c:v>
                </c:pt>
                <c:pt idx="6">
                  <c:v>142596</c:v>
                </c:pt>
                <c:pt idx="7">
                  <c:v>120324</c:v>
                </c:pt>
                <c:pt idx="8">
                  <c:v>105773</c:v>
                </c:pt>
                <c:pt idx="9">
                  <c:v>112609</c:v>
                </c:pt>
                <c:pt idx="10">
                  <c:v>130299</c:v>
                </c:pt>
                <c:pt idx="11">
                  <c:v>92625</c:v>
                </c:pt>
                <c:pt idx="12">
                  <c:v>126359</c:v>
                </c:pt>
                <c:pt idx="13">
                  <c:v>97462</c:v>
                </c:pt>
                <c:pt idx="14">
                  <c:v>101572</c:v>
                </c:pt>
                <c:pt idx="15">
                  <c:v>100276</c:v>
                </c:pt>
                <c:pt idx="16">
                  <c:v>88278</c:v>
                </c:pt>
                <c:pt idx="17">
                  <c:v>93827</c:v>
                </c:pt>
                <c:pt idx="18">
                  <c:v>98362</c:v>
                </c:pt>
                <c:pt idx="19">
                  <c:v>167535</c:v>
                </c:pt>
                <c:pt idx="20">
                  <c:v>144960</c:v>
                </c:pt>
                <c:pt idx="21">
                  <c:v>111915</c:v>
                </c:pt>
                <c:pt idx="22">
                  <c:v>124913</c:v>
                </c:pt>
                <c:pt idx="23">
                  <c:v>81693</c:v>
                </c:pt>
                <c:pt idx="24">
                  <c:v>93281</c:v>
                </c:pt>
                <c:pt idx="25">
                  <c:v>91862</c:v>
                </c:pt>
                <c:pt idx="26">
                  <c:v>100060</c:v>
                </c:pt>
                <c:pt idx="27">
                  <c:v>112808</c:v>
                </c:pt>
                <c:pt idx="28">
                  <c:v>138525</c:v>
                </c:pt>
                <c:pt idx="29">
                  <c:v>161372</c:v>
                </c:pt>
                <c:pt idx="30">
                  <c:v>78605</c:v>
                </c:pt>
                <c:pt idx="31">
                  <c:v>128558</c:v>
                </c:pt>
                <c:pt idx="32">
                  <c:v>92266</c:v>
                </c:pt>
                <c:pt idx="33">
                  <c:v>95621</c:v>
                </c:pt>
                <c:pt idx="34">
                  <c:v>97224</c:v>
                </c:pt>
                <c:pt idx="35">
                  <c:v>87833</c:v>
                </c:pt>
                <c:pt idx="36">
                  <c:v>120548</c:v>
                </c:pt>
                <c:pt idx="37">
                  <c:v>119394</c:v>
                </c:pt>
                <c:pt idx="38">
                  <c:v>128555</c:v>
                </c:pt>
                <c:pt idx="39">
                  <c:v>96505</c:v>
                </c:pt>
                <c:pt idx="40">
                  <c:v>90226</c:v>
                </c:pt>
                <c:pt idx="41">
                  <c:v>98512</c:v>
                </c:pt>
                <c:pt idx="42">
                  <c:v>116343</c:v>
                </c:pt>
                <c:pt idx="43">
                  <c:v>130461</c:v>
                </c:pt>
                <c:pt idx="44">
                  <c:v>104926</c:v>
                </c:pt>
                <c:pt idx="45">
                  <c:v>151753</c:v>
                </c:pt>
                <c:pt idx="46">
                  <c:v>142957</c:v>
                </c:pt>
                <c:pt idx="47">
                  <c:v>85459</c:v>
                </c:pt>
                <c:pt idx="48">
                  <c:v>117154</c:v>
                </c:pt>
                <c:pt idx="49">
                  <c:v>104732</c:v>
                </c:pt>
              </c:numCache>
            </c:numRef>
          </c:xVal>
          <c:yVal>
            <c:numRef>
              <c:f>'Health Spending and Income'!$G$2:$G$51</c:f>
              <c:numCache>
                <c:formatCode>_([$$-409]* #,##0.00_);_([$$-409]* \(#,##0.00\);_([$$-409]* "-"??_);_(@_)</c:formatCode>
                <c:ptCount val="50"/>
                <c:pt idx="0">
                  <c:v>500</c:v>
                </c:pt>
                <c:pt idx="1">
                  <c:v>750</c:v>
                </c:pt>
                <c:pt idx="2">
                  <c:v>300</c:v>
                </c:pt>
                <c:pt idx="3">
                  <c:v>400</c:v>
                </c:pt>
                <c:pt idx="4">
                  <c:v>600</c:v>
                </c:pt>
                <c:pt idx="5">
                  <c:v>500</c:v>
                </c:pt>
                <c:pt idx="6">
                  <c:v>700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800</c:v>
                </c:pt>
                <c:pt idx="11">
                  <c:v>300</c:v>
                </c:pt>
                <c:pt idx="12">
                  <c:v>500</c:v>
                </c:pt>
                <c:pt idx="13">
                  <c:v>400</c:v>
                </c:pt>
                <c:pt idx="14">
                  <c:v>250</c:v>
                </c:pt>
                <c:pt idx="15">
                  <c:v>350</c:v>
                </c:pt>
                <c:pt idx="16">
                  <c:v>400</c:v>
                </c:pt>
                <c:pt idx="17">
                  <c:v>450</c:v>
                </c:pt>
                <c:pt idx="18">
                  <c:v>500</c:v>
                </c:pt>
                <c:pt idx="19">
                  <c:v>700</c:v>
                </c:pt>
                <c:pt idx="20">
                  <c:v>800</c:v>
                </c:pt>
                <c:pt idx="21">
                  <c:v>500</c:v>
                </c:pt>
                <c:pt idx="22">
                  <c:v>400</c:v>
                </c:pt>
                <c:pt idx="23">
                  <c:v>300</c:v>
                </c:pt>
                <c:pt idx="24">
                  <c:v>400</c:v>
                </c:pt>
                <c:pt idx="25">
                  <c:v>300</c:v>
                </c:pt>
                <c:pt idx="26">
                  <c:v>350</c:v>
                </c:pt>
                <c:pt idx="27">
                  <c:v>600</c:v>
                </c:pt>
                <c:pt idx="28">
                  <c:v>700</c:v>
                </c:pt>
                <c:pt idx="29">
                  <c:v>800</c:v>
                </c:pt>
                <c:pt idx="30">
                  <c:v>400</c:v>
                </c:pt>
                <c:pt idx="31">
                  <c:v>500</c:v>
                </c:pt>
                <c:pt idx="32">
                  <c:v>450</c:v>
                </c:pt>
                <c:pt idx="33">
                  <c:v>250</c:v>
                </c:pt>
                <c:pt idx="34">
                  <c:v>400</c:v>
                </c:pt>
                <c:pt idx="35">
                  <c:v>350</c:v>
                </c:pt>
                <c:pt idx="36">
                  <c:v>500</c:v>
                </c:pt>
                <c:pt idx="37">
                  <c:v>700</c:v>
                </c:pt>
                <c:pt idx="38">
                  <c:v>800</c:v>
                </c:pt>
                <c:pt idx="39">
                  <c:v>450</c:v>
                </c:pt>
                <c:pt idx="40">
                  <c:v>250</c:v>
                </c:pt>
                <c:pt idx="41">
                  <c:v>400</c:v>
                </c:pt>
                <c:pt idx="42">
                  <c:v>500</c:v>
                </c:pt>
                <c:pt idx="43">
                  <c:v>350</c:v>
                </c:pt>
                <c:pt idx="44">
                  <c:v>500</c:v>
                </c:pt>
                <c:pt idx="45">
                  <c:v>700</c:v>
                </c:pt>
                <c:pt idx="46">
                  <c:v>600</c:v>
                </c:pt>
                <c:pt idx="47">
                  <c:v>400</c:v>
                </c:pt>
                <c:pt idx="48">
                  <c:v>400</c:v>
                </c:pt>
                <c:pt idx="49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E3-2243-B909-FC2D88F11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030399"/>
        <c:axId val="1443497887"/>
      </c:scatterChart>
      <c:valAx>
        <c:axId val="1361030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</a:t>
                </a:r>
                <a:r>
                  <a:rPr lang="en-US" baseline="0"/>
                  <a:t> Income (Ten Thousands)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497887"/>
        <c:crosses val="autoZero"/>
        <c:crossBetween val="midCat"/>
        <c:dispUnits>
          <c:builtInUnit val="tenThousands"/>
        </c:dispUnits>
      </c:valAx>
      <c:valAx>
        <c:axId val="1443497887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</a:t>
                </a:r>
                <a:r>
                  <a:rPr lang="en-US" baseline="0"/>
                  <a:t> Health Spending per Person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030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0</xdr:row>
      <xdr:rowOff>25400</xdr:rowOff>
    </xdr:from>
    <xdr:to>
      <xdr:col>10</xdr:col>
      <xdr:colOff>533400</xdr:colOff>
      <xdr:row>30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D6ED3A9-B56B-3B1D-29DA-33F6E8B18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12700</xdr:colOff>
      <xdr:row>0</xdr:row>
      <xdr:rowOff>12700</xdr:rowOff>
    </xdr:from>
    <xdr:to>
      <xdr:col>17</xdr:col>
      <xdr:colOff>609600</xdr:colOff>
      <xdr:row>30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75C3654-338C-CF5C-28D2-473569D1D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12700</xdr:colOff>
      <xdr:row>0</xdr:row>
      <xdr:rowOff>12700</xdr:rowOff>
    </xdr:from>
    <xdr:to>
      <xdr:col>24</xdr:col>
      <xdr:colOff>609600</xdr:colOff>
      <xdr:row>30</xdr:row>
      <xdr:rowOff>12700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67E2B69-77B2-6D3F-893F-E76EF4C77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0</xdr:row>
      <xdr:rowOff>38100</xdr:rowOff>
    </xdr:from>
    <xdr:to>
      <xdr:col>15</xdr:col>
      <xdr:colOff>12700</xdr:colOff>
      <xdr:row>22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15173E-F31E-ADBA-3E88-8C2CF5F748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292100</xdr:colOff>
      <xdr:row>0</xdr:row>
      <xdr:rowOff>38100</xdr:rowOff>
    </xdr:from>
    <xdr:to>
      <xdr:col>22</xdr:col>
      <xdr:colOff>266700</xdr:colOff>
      <xdr:row>22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965B76-6ECD-319B-CBB3-734F39DEBA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520700</xdr:colOff>
      <xdr:row>0</xdr:row>
      <xdr:rowOff>50800</xdr:rowOff>
    </xdr:from>
    <xdr:to>
      <xdr:col>29</xdr:col>
      <xdr:colOff>469900</xdr:colOff>
      <xdr:row>22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202629-FD2E-BBD4-1069-2A44DF6C2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25400</xdr:colOff>
      <xdr:row>23</xdr:row>
      <xdr:rowOff>12700</xdr:rowOff>
    </xdr:from>
    <xdr:to>
      <xdr:col>14</xdr:col>
      <xdr:colOff>812800</xdr:colOff>
      <xdr:row>44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53715B5-0D53-F665-5552-0E595A249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292100</xdr:colOff>
      <xdr:row>23</xdr:row>
      <xdr:rowOff>12700</xdr:rowOff>
    </xdr:from>
    <xdr:to>
      <xdr:col>22</xdr:col>
      <xdr:colOff>254000</xdr:colOff>
      <xdr:row>44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D97087-15CB-5A94-9265-E1AE47AD7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533400</xdr:colOff>
      <xdr:row>23</xdr:row>
      <xdr:rowOff>0</xdr:rowOff>
    </xdr:from>
    <xdr:to>
      <xdr:col>29</xdr:col>
      <xdr:colOff>469900</xdr:colOff>
      <xdr:row>44</xdr:row>
      <xdr:rowOff>127000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496D532-69E5-2859-DA8A-8B47EEA8B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38100</xdr:colOff>
      <xdr:row>46</xdr:row>
      <xdr:rowOff>12700</xdr:rowOff>
    </xdr:from>
    <xdr:to>
      <xdr:col>14</xdr:col>
      <xdr:colOff>800100</xdr:colOff>
      <xdr:row>67</xdr:row>
      <xdr:rowOff>139700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BD8B408-7C6B-F896-F5CB-7D8831572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304800</xdr:colOff>
      <xdr:row>46</xdr:row>
      <xdr:rowOff>12700</xdr:rowOff>
    </xdr:from>
    <xdr:to>
      <xdr:col>22</xdr:col>
      <xdr:colOff>241300</xdr:colOff>
      <xdr:row>67</xdr:row>
      <xdr:rowOff>127000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30FBFEE-07B7-4AB1-685F-B6FDE604F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546100</xdr:colOff>
      <xdr:row>46</xdr:row>
      <xdr:rowOff>12700</xdr:rowOff>
    </xdr:from>
    <xdr:to>
      <xdr:col>29</xdr:col>
      <xdr:colOff>444500</xdr:colOff>
      <xdr:row>67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98016D9-8EF5-C2FD-8575-FD2EA7E9F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392.735225115743" createdVersion="8" refreshedVersion="8" minRefreshableVersion="3" recordCount="50" xr:uid="{55368033-AE7C-5145-A72A-77895FBCB7BF}">
  <cacheSource type="worksheet">
    <worksheetSource ref="A1:C51" sheet="Total Health Spending"/>
  </cacheSource>
  <cacheFields count="4">
    <cacheField name="state_usa" numFmtId="0">
      <sharedItems count="50">
        <s v="California"/>
        <s v="Texas"/>
        <s v="New York"/>
        <s v="Pennsylvania"/>
        <s v="Florida"/>
        <s v="New Jersey"/>
        <s v="Illinois"/>
        <s v="Virginia"/>
        <s v="Massachusetts"/>
        <s v="Ohio"/>
        <s v="Michigan"/>
        <s v="Georgia"/>
        <s v="North Carolina"/>
        <s v="Washington"/>
        <s v="Maryland"/>
        <s v="Indiana"/>
        <s v="Colorado"/>
        <s v="Missouri"/>
        <s v="Tennessee"/>
        <s v="Wisconsin"/>
        <s v="Arizona"/>
        <s v="Connecticut"/>
        <s v="South Carolina"/>
        <s v="Minnesota"/>
        <s v="Alabama"/>
        <s v="Oregon"/>
        <s v="Louisiana"/>
        <s v="Kentucky"/>
        <s v="Nevada"/>
        <s v="Oklahoma"/>
        <s v="Utah"/>
        <s v="Arkansas"/>
        <s v="Kansas"/>
        <s v="Hawaii"/>
        <s v="Iowa"/>
        <s v="Mississippi"/>
        <s v="New Hampshire"/>
        <s v="Rhode Island"/>
        <s v="New Mexico"/>
        <s v="Nebraska"/>
        <s v="West Virginia"/>
        <s v="Maine"/>
        <s v="Idaho"/>
        <s v="Alaska"/>
        <s v="Delaware"/>
        <s v="Vermont"/>
        <s v="Montana"/>
        <s v="South Dakota"/>
        <s v="North Dakota"/>
        <s v="Wyoming"/>
      </sharedItems>
    </cacheField>
    <cacheField name="avg_health_spending" numFmtId="0">
      <sharedItems containsSemiMixedTypes="0" containsString="0" containsNumber="1" minValue="125.5" maxValue="350"/>
    </cacheField>
    <cacheField name="population_estimate" numFmtId="0">
      <sharedItems containsSemiMixedTypes="0" containsString="0" containsNumber="1" containsInteger="1" minValue="578759" maxValue="39512223"/>
    </cacheField>
    <cacheField name="Total Health Spending" numFmtId="0" formula="avg_health_spending*population_estimat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250.75"/>
    <n v="39512223"/>
  </r>
  <r>
    <x v="1"/>
    <n v="225.75"/>
    <n v="28995881"/>
  </r>
  <r>
    <x v="2"/>
    <n v="225.75"/>
    <n v="19453561"/>
  </r>
  <r>
    <x v="3"/>
    <n v="300"/>
    <n v="12801989"/>
  </r>
  <r>
    <x v="4"/>
    <n v="175.25"/>
    <n v="21477737"/>
  </r>
  <r>
    <x v="5"/>
    <n v="350"/>
    <n v="8882190"/>
  </r>
  <r>
    <x v="6"/>
    <n v="225.75"/>
    <n v="12671821"/>
  </r>
  <r>
    <x v="7"/>
    <n v="300"/>
    <n v="8535519"/>
  </r>
  <r>
    <x v="8"/>
    <n v="350"/>
    <n v="6892503"/>
  </r>
  <r>
    <x v="9"/>
    <n v="200.25"/>
    <n v="11689100"/>
  </r>
  <r>
    <x v="10"/>
    <n v="225.5"/>
    <n v="9986857"/>
  </r>
  <r>
    <x v="11"/>
    <n v="200"/>
    <n v="10617423"/>
  </r>
  <r>
    <x v="12"/>
    <n v="200"/>
    <n v="10488084"/>
  </r>
  <r>
    <x v="13"/>
    <n v="250.75"/>
    <n v="7614893"/>
  </r>
  <r>
    <x v="14"/>
    <n v="300"/>
    <n v="6045680"/>
  </r>
  <r>
    <x v="15"/>
    <n v="200.25"/>
    <n v="6732219"/>
  </r>
  <r>
    <x v="16"/>
    <n v="225.5"/>
    <n v="5758736"/>
  </r>
  <r>
    <x v="17"/>
    <n v="200.25"/>
    <n v="6137428"/>
  </r>
  <r>
    <x v="18"/>
    <n v="175.25"/>
    <n v="6829174"/>
  </r>
  <r>
    <x v="19"/>
    <n v="200.25"/>
    <n v="5822434"/>
  </r>
  <r>
    <x v="20"/>
    <n v="150"/>
    <n v="7278717"/>
  </r>
  <r>
    <x v="21"/>
    <n v="300"/>
    <n v="3565287"/>
  </r>
  <r>
    <x v="22"/>
    <n v="200"/>
    <n v="5148714"/>
  </r>
  <r>
    <x v="23"/>
    <n v="175.5"/>
    <n v="5639632"/>
  </r>
  <r>
    <x v="24"/>
    <n v="200.5"/>
    <n v="4903185"/>
  </r>
  <r>
    <x v="25"/>
    <n v="225.5"/>
    <n v="4217737"/>
  </r>
  <r>
    <x v="26"/>
    <n v="200"/>
    <n v="4648794"/>
  </r>
  <r>
    <x v="27"/>
    <n v="175"/>
    <n v="4467673"/>
  </r>
  <r>
    <x v="28"/>
    <n v="250.75"/>
    <n v="3080156"/>
  </r>
  <r>
    <x v="29"/>
    <n v="175.5"/>
    <n v="3956971"/>
  </r>
  <r>
    <x v="30"/>
    <n v="175.5"/>
    <n v="3205958"/>
  </r>
  <r>
    <x v="31"/>
    <n v="175"/>
    <n v="3017804"/>
  </r>
  <r>
    <x v="32"/>
    <n v="175.5"/>
    <n v="2913314"/>
  </r>
  <r>
    <x v="33"/>
    <n v="350"/>
    <n v="1415872"/>
  </r>
  <r>
    <x v="34"/>
    <n v="150"/>
    <n v="3155070"/>
  </r>
  <r>
    <x v="35"/>
    <n v="150"/>
    <n v="2976149"/>
  </r>
  <r>
    <x v="36"/>
    <n v="300"/>
    <n v="1359711"/>
  </r>
  <r>
    <x v="37"/>
    <n v="350"/>
    <n v="1059361"/>
  </r>
  <r>
    <x v="38"/>
    <n v="175"/>
    <n v="2096829"/>
  </r>
  <r>
    <x v="39"/>
    <n v="175.5"/>
    <n v="1934408"/>
  </r>
  <r>
    <x v="40"/>
    <n v="175"/>
    <n v="1792147"/>
  </r>
  <r>
    <x v="41"/>
    <n v="225.75"/>
    <n v="1344212"/>
  </r>
  <r>
    <x v="42"/>
    <n v="125.5"/>
    <n v="1787065"/>
  </r>
  <r>
    <x v="43"/>
    <n v="300.25"/>
    <n v="731545"/>
  </r>
  <r>
    <x v="44"/>
    <n v="175.5"/>
    <n v="973764"/>
  </r>
  <r>
    <x v="45"/>
    <n v="225.75"/>
    <n v="623989"/>
  </r>
  <r>
    <x v="46"/>
    <n v="125.5"/>
    <n v="1068778"/>
  </r>
  <r>
    <x v="47"/>
    <n v="150"/>
    <n v="884659"/>
  </r>
  <r>
    <x v="48"/>
    <n v="150"/>
    <n v="762062"/>
  </r>
  <r>
    <x v="49"/>
    <n v="125.5"/>
    <n v="5787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47B9A-D5E8-0841-8279-5B448EAF15B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">
  <location ref="E1:F52" firstHeaderRow="1" firstDataRow="1" firstDataCol="1"/>
  <pivotFields count="4">
    <pivotField axis="axisRow" showAll="0">
      <items count="51">
        <item x="24"/>
        <item x="43"/>
        <item x="20"/>
        <item x="31"/>
        <item x="0"/>
        <item x="16"/>
        <item x="21"/>
        <item x="44"/>
        <item x="4"/>
        <item x="11"/>
        <item x="33"/>
        <item x="42"/>
        <item x="6"/>
        <item x="15"/>
        <item x="34"/>
        <item x="32"/>
        <item x="27"/>
        <item x="26"/>
        <item x="41"/>
        <item x="14"/>
        <item x="8"/>
        <item x="10"/>
        <item x="23"/>
        <item x="35"/>
        <item x="17"/>
        <item x="46"/>
        <item x="39"/>
        <item x="28"/>
        <item x="36"/>
        <item x="5"/>
        <item x="38"/>
        <item x="2"/>
        <item x="12"/>
        <item x="48"/>
        <item x="9"/>
        <item x="29"/>
        <item x="25"/>
        <item x="3"/>
        <item x="37"/>
        <item x="22"/>
        <item x="47"/>
        <item x="18"/>
        <item x="1"/>
        <item x="30"/>
        <item x="45"/>
        <item x="7"/>
        <item x="13"/>
        <item x="40"/>
        <item x="19"/>
        <item x="49"/>
        <item t="default"/>
      </items>
    </pivotField>
    <pivotField showAll="0"/>
    <pivotField showAll="0"/>
    <pivotField dataField="1" dragToRow="0" dragToCol="0" dragToPage="0" showAll="0" defaultSubtota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Total Health Spending" fld="3" baseField="0" baseItem="0" numFmtId="164"/>
  </dataFields>
  <formats count="2">
    <format dxfId="7">
      <pivotArea outline="0" collapsedLevelsAreSubtotals="1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2"/>
  <sheetViews>
    <sheetView topLeftCell="A32" zoomScale="90" zoomScaleNormal="90" workbookViewId="0"/>
  </sheetViews>
  <sheetFormatPr baseColWidth="10" defaultColWidth="12.6640625" defaultRowHeight="15.75" customHeight="1" x14ac:dyDescent="0.15"/>
  <cols>
    <col min="3" max="3" width="13.6640625" bestFit="1" customWidth="1"/>
    <col min="5" max="5" width="13.1640625" bestFit="1" customWidth="1"/>
    <col min="6" max="6" width="25.5" style="3" bestFit="1" customWidth="1"/>
  </cols>
  <sheetData>
    <row r="1" spans="1:6" ht="15.75" customHeight="1" x14ac:dyDescent="0.15">
      <c r="A1" s="4" t="s">
        <v>0</v>
      </c>
      <c r="B1" s="5" t="s">
        <v>1</v>
      </c>
      <c r="C1" s="7" t="s">
        <v>2</v>
      </c>
      <c r="E1" s="1" t="s">
        <v>59</v>
      </c>
      <c r="F1" s="3" t="s">
        <v>58</v>
      </c>
    </row>
    <row r="2" spans="1:6" ht="15.75" customHeight="1" x14ac:dyDescent="0.15">
      <c r="A2" s="4" t="s">
        <v>3</v>
      </c>
      <c r="B2" s="6">
        <v>250.75</v>
      </c>
      <c r="C2" s="8">
        <v>39512223</v>
      </c>
      <c r="E2" s="2" t="s">
        <v>4</v>
      </c>
      <c r="F2" s="3">
        <v>983088592.5</v>
      </c>
    </row>
    <row r="3" spans="1:6" ht="15.75" customHeight="1" x14ac:dyDescent="0.15">
      <c r="A3" s="4" t="s">
        <v>5</v>
      </c>
      <c r="B3" s="6">
        <v>225.75</v>
      </c>
      <c r="C3" s="8">
        <v>28995881</v>
      </c>
      <c r="E3" s="2" t="s">
        <v>6</v>
      </c>
      <c r="F3" s="3">
        <v>219646386.25</v>
      </c>
    </row>
    <row r="4" spans="1:6" ht="15.75" customHeight="1" x14ac:dyDescent="0.15">
      <c r="A4" s="4" t="s">
        <v>7</v>
      </c>
      <c r="B4" s="6">
        <v>225.75</v>
      </c>
      <c r="C4" s="8">
        <v>19453561</v>
      </c>
      <c r="E4" s="2" t="s">
        <v>8</v>
      </c>
      <c r="F4" s="3">
        <v>1091807550</v>
      </c>
    </row>
    <row r="5" spans="1:6" ht="15.75" customHeight="1" x14ac:dyDescent="0.15">
      <c r="A5" s="4" t="s">
        <v>9</v>
      </c>
      <c r="B5" s="6">
        <v>300</v>
      </c>
      <c r="C5" s="8">
        <v>12801989</v>
      </c>
      <c r="E5" s="2" t="s">
        <v>10</v>
      </c>
      <c r="F5" s="3">
        <v>528115700</v>
      </c>
    </row>
    <row r="6" spans="1:6" ht="15.75" customHeight="1" x14ac:dyDescent="0.15">
      <c r="A6" s="4" t="s">
        <v>11</v>
      </c>
      <c r="B6" s="6">
        <v>175.25</v>
      </c>
      <c r="C6" s="8">
        <v>21477737</v>
      </c>
      <c r="E6" s="2" t="s">
        <v>3</v>
      </c>
      <c r="F6" s="3">
        <v>9907689917.25</v>
      </c>
    </row>
    <row r="7" spans="1:6" ht="15.75" customHeight="1" x14ac:dyDescent="0.15">
      <c r="A7" s="4" t="s">
        <v>12</v>
      </c>
      <c r="B7" s="6">
        <v>350</v>
      </c>
      <c r="C7" s="8">
        <v>8882190</v>
      </c>
      <c r="E7" s="2" t="s">
        <v>13</v>
      </c>
      <c r="F7" s="3">
        <v>1298594968</v>
      </c>
    </row>
    <row r="8" spans="1:6" ht="15.75" customHeight="1" x14ac:dyDescent="0.15">
      <c r="A8" s="4" t="s">
        <v>14</v>
      </c>
      <c r="B8" s="6">
        <v>225.75</v>
      </c>
      <c r="C8" s="8">
        <v>12671821</v>
      </c>
      <c r="E8" s="2" t="s">
        <v>15</v>
      </c>
      <c r="F8" s="3">
        <v>1069586100</v>
      </c>
    </row>
    <row r="9" spans="1:6" ht="15.75" customHeight="1" x14ac:dyDescent="0.15">
      <c r="A9" s="4" t="s">
        <v>16</v>
      </c>
      <c r="B9" s="6">
        <v>300</v>
      </c>
      <c r="C9" s="8">
        <v>8535519</v>
      </c>
      <c r="E9" s="2" t="s">
        <v>17</v>
      </c>
      <c r="F9" s="3">
        <v>170895582</v>
      </c>
    </row>
    <row r="10" spans="1:6" ht="15.75" customHeight="1" x14ac:dyDescent="0.15">
      <c r="A10" s="4" t="s">
        <v>18</v>
      </c>
      <c r="B10" s="6">
        <v>350</v>
      </c>
      <c r="C10" s="8">
        <v>6892503</v>
      </c>
      <c r="E10" s="2" t="s">
        <v>11</v>
      </c>
      <c r="F10" s="3">
        <v>3763973409.25</v>
      </c>
    </row>
    <row r="11" spans="1:6" ht="15.75" customHeight="1" x14ac:dyDescent="0.15">
      <c r="A11" s="4" t="s">
        <v>19</v>
      </c>
      <c r="B11" s="6">
        <v>200.25</v>
      </c>
      <c r="C11" s="8">
        <v>11689100</v>
      </c>
      <c r="E11" s="2" t="s">
        <v>20</v>
      </c>
      <c r="F11" s="3">
        <v>2123484600</v>
      </c>
    </row>
    <row r="12" spans="1:6" ht="15.75" customHeight="1" x14ac:dyDescent="0.15">
      <c r="A12" s="4" t="s">
        <v>21</v>
      </c>
      <c r="B12" s="6">
        <v>225.5</v>
      </c>
      <c r="C12" s="8">
        <v>9986857</v>
      </c>
      <c r="E12" s="2" t="s">
        <v>22</v>
      </c>
      <c r="F12" s="3">
        <v>495555200</v>
      </c>
    </row>
    <row r="13" spans="1:6" ht="15.75" customHeight="1" x14ac:dyDescent="0.15">
      <c r="A13" s="4" t="s">
        <v>20</v>
      </c>
      <c r="B13" s="6">
        <v>200</v>
      </c>
      <c r="C13" s="8">
        <v>10617423</v>
      </c>
      <c r="E13" s="2" t="s">
        <v>23</v>
      </c>
      <c r="F13" s="3">
        <v>224276657.5</v>
      </c>
    </row>
    <row r="14" spans="1:6" ht="15.75" customHeight="1" x14ac:dyDescent="0.15">
      <c r="A14" s="4" t="s">
        <v>24</v>
      </c>
      <c r="B14" s="6">
        <v>200</v>
      </c>
      <c r="C14" s="8">
        <v>10488084</v>
      </c>
      <c r="E14" s="2" t="s">
        <v>14</v>
      </c>
      <c r="F14" s="3">
        <v>2860663590.75</v>
      </c>
    </row>
    <row r="15" spans="1:6" ht="15.75" customHeight="1" x14ac:dyDescent="0.15">
      <c r="A15" s="4" t="s">
        <v>25</v>
      </c>
      <c r="B15" s="6">
        <v>250.75</v>
      </c>
      <c r="C15" s="8">
        <v>7614893</v>
      </c>
      <c r="E15" s="2" t="s">
        <v>26</v>
      </c>
      <c r="F15" s="3">
        <v>1348126854.75</v>
      </c>
    </row>
    <row r="16" spans="1:6" ht="15.75" customHeight="1" x14ac:dyDescent="0.15">
      <c r="A16" s="4" t="s">
        <v>27</v>
      </c>
      <c r="B16" s="6">
        <v>300</v>
      </c>
      <c r="C16" s="8">
        <v>6045680</v>
      </c>
      <c r="E16" s="2" t="s">
        <v>28</v>
      </c>
      <c r="F16" s="3">
        <v>473260500</v>
      </c>
    </row>
    <row r="17" spans="1:6" ht="15.75" customHeight="1" x14ac:dyDescent="0.15">
      <c r="A17" s="4" t="s">
        <v>26</v>
      </c>
      <c r="B17" s="6">
        <v>200.25</v>
      </c>
      <c r="C17" s="8">
        <v>6732219</v>
      </c>
      <c r="E17" s="2" t="s">
        <v>29</v>
      </c>
      <c r="F17" s="3">
        <v>511286607</v>
      </c>
    </row>
    <row r="18" spans="1:6" ht="15.75" customHeight="1" x14ac:dyDescent="0.15">
      <c r="A18" s="4" t="s">
        <v>13</v>
      </c>
      <c r="B18" s="6">
        <v>225.5</v>
      </c>
      <c r="C18" s="8">
        <v>5758736</v>
      </c>
      <c r="E18" s="2" t="s">
        <v>30</v>
      </c>
      <c r="F18" s="3">
        <v>781842775</v>
      </c>
    </row>
    <row r="19" spans="1:6" ht="15.75" customHeight="1" x14ac:dyDescent="0.15">
      <c r="A19" s="4" t="s">
        <v>31</v>
      </c>
      <c r="B19" s="6">
        <v>200.25</v>
      </c>
      <c r="C19" s="8">
        <v>6137428</v>
      </c>
      <c r="E19" s="2" t="s">
        <v>32</v>
      </c>
      <c r="F19" s="3">
        <v>929758800</v>
      </c>
    </row>
    <row r="20" spans="1:6" ht="15.75" customHeight="1" x14ac:dyDescent="0.15">
      <c r="A20" s="4" t="s">
        <v>33</v>
      </c>
      <c r="B20" s="6">
        <v>175.25</v>
      </c>
      <c r="C20" s="8">
        <v>6829174</v>
      </c>
      <c r="E20" s="2" t="s">
        <v>34</v>
      </c>
      <c r="F20" s="3">
        <v>303455859</v>
      </c>
    </row>
    <row r="21" spans="1:6" ht="15.75" customHeight="1" x14ac:dyDescent="0.15">
      <c r="A21" s="4" t="s">
        <v>35</v>
      </c>
      <c r="B21" s="6">
        <v>200.25</v>
      </c>
      <c r="C21" s="8">
        <v>5822434</v>
      </c>
      <c r="E21" s="2" t="s">
        <v>27</v>
      </c>
      <c r="F21" s="3">
        <v>1813704000</v>
      </c>
    </row>
    <row r="22" spans="1:6" ht="15.75" customHeight="1" x14ac:dyDescent="0.15">
      <c r="A22" s="4" t="s">
        <v>8</v>
      </c>
      <c r="B22" s="6">
        <v>150</v>
      </c>
      <c r="C22" s="8">
        <v>7278717</v>
      </c>
      <c r="E22" s="2" t="s">
        <v>18</v>
      </c>
      <c r="F22" s="3">
        <v>2412376050</v>
      </c>
    </row>
    <row r="23" spans="1:6" ht="15.75" customHeight="1" x14ac:dyDescent="0.15">
      <c r="A23" s="4" t="s">
        <v>15</v>
      </c>
      <c r="B23" s="6">
        <v>300</v>
      </c>
      <c r="C23" s="8">
        <v>3565287</v>
      </c>
      <c r="E23" s="2" t="s">
        <v>21</v>
      </c>
      <c r="F23" s="3">
        <v>2252036253.5</v>
      </c>
    </row>
    <row r="24" spans="1:6" ht="15.75" customHeight="1" x14ac:dyDescent="0.15">
      <c r="A24" s="4" t="s">
        <v>36</v>
      </c>
      <c r="B24" s="6">
        <v>200</v>
      </c>
      <c r="C24" s="8">
        <v>5148714</v>
      </c>
      <c r="E24" s="2" t="s">
        <v>37</v>
      </c>
      <c r="F24" s="3">
        <v>989755416</v>
      </c>
    </row>
    <row r="25" spans="1:6" ht="15.75" customHeight="1" x14ac:dyDescent="0.15">
      <c r="A25" s="4" t="s">
        <v>37</v>
      </c>
      <c r="B25" s="6">
        <v>175.5</v>
      </c>
      <c r="C25" s="8">
        <v>5639632</v>
      </c>
      <c r="E25" s="2" t="s">
        <v>38</v>
      </c>
      <c r="F25" s="3">
        <v>446422350</v>
      </c>
    </row>
    <row r="26" spans="1:6" ht="15.75" customHeight="1" x14ac:dyDescent="0.15">
      <c r="A26" s="4" t="s">
        <v>4</v>
      </c>
      <c r="B26" s="6">
        <v>200.5</v>
      </c>
      <c r="C26" s="8">
        <v>4903185</v>
      </c>
      <c r="E26" s="2" t="s">
        <v>31</v>
      </c>
      <c r="F26" s="3">
        <v>1229019957</v>
      </c>
    </row>
    <row r="27" spans="1:6" ht="15.75" customHeight="1" x14ac:dyDescent="0.15">
      <c r="A27" s="4" t="s">
        <v>39</v>
      </c>
      <c r="B27" s="6">
        <v>225.5</v>
      </c>
      <c r="C27" s="8">
        <v>4217737</v>
      </c>
      <c r="E27" s="2" t="s">
        <v>40</v>
      </c>
      <c r="F27" s="3">
        <v>134131639</v>
      </c>
    </row>
    <row r="28" spans="1:6" ht="15.75" customHeight="1" x14ac:dyDescent="0.15">
      <c r="A28" s="4" t="s">
        <v>32</v>
      </c>
      <c r="B28" s="6">
        <v>200</v>
      </c>
      <c r="C28" s="8">
        <v>4648794</v>
      </c>
      <c r="E28" s="2" t="s">
        <v>41</v>
      </c>
      <c r="F28" s="3">
        <v>339488604</v>
      </c>
    </row>
    <row r="29" spans="1:6" ht="15.75" customHeight="1" x14ac:dyDescent="0.15">
      <c r="A29" s="4" t="s">
        <v>30</v>
      </c>
      <c r="B29" s="6">
        <v>175</v>
      </c>
      <c r="C29" s="8">
        <v>4467673</v>
      </c>
      <c r="E29" s="2" t="s">
        <v>42</v>
      </c>
      <c r="F29" s="3">
        <v>772349117</v>
      </c>
    </row>
    <row r="30" spans="1:6" ht="15.75" customHeight="1" x14ac:dyDescent="0.15">
      <c r="A30" s="4" t="s">
        <v>42</v>
      </c>
      <c r="B30" s="6">
        <v>250.75</v>
      </c>
      <c r="C30" s="8">
        <v>3080156</v>
      </c>
      <c r="E30" s="2" t="s">
        <v>43</v>
      </c>
      <c r="F30" s="3">
        <v>407913300</v>
      </c>
    </row>
    <row r="31" spans="1:6" ht="15.75" customHeight="1" x14ac:dyDescent="0.15">
      <c r="A31" s="4" t="s">
        <v>44</v>
      </c>
      <c r="B31" s="6">
        <v>175.5</v>
      </c>
      <c r="C31" s="8">
        <v>3956971</v>
      </c>
      <c r="E31" s="2" t="s">
        <v>12</v>
      </c>
      <c r="F31" s="3">
        <v>3108766500</v>
      </c>
    </row>
    <row r="32" spans="1:6" ht="15.75" customHeight="1" x14ac:dyDescent="0.15">
      <c r="A32" s="4" t="s">
        <v>45</v>
      </c>
      <c r="B32" s="6">
        <v>175.5</v>
      </c>
      <c r="C32" s="8">
        <v>3205958</v>
      </c>
      <c r="E32" s="2" t="s">
        <v>46</v>
      </c>
      <c r="F32" s="3">
        <v>366945075</v>
      </c>
    </row>
    <row r="33" spans="1:6" ht="15.75" customHeight="1" x14ac:dyDescent="0.15">
      <c r="A33" s="4" t="s">
        <v>10</v>
      </c>
      <c r="B33" s="6">
        <v>175</v>
      </c>
      <c r="C33" s="8">
        <v>3017804</v>
      </c>
      <c r="E33" s="2" t="s">
        <v>7</v>
      </c>
      <c r="F33" s="3">
        <v>4391641395.75</v>
      </c>
    </row>
    <row r="34" spans="1:6" ht="15.75" customHeight="1" x14ac:dyDescent="0.15">
      <c r="A34" s="4" t="s">
        <v>29</v>
      </c>
      <c r="B34" s="6">
        <v>175.5</v>
      </c>
      <c r="C34" s="8">
        <v>2913314</v>
      </c>
      <c r="E34" s="2" t="s">
        <v>24</v>
      </c>
      <c r="F34" s="3">
        <v>2097616800</v>
      </c>
    </row>
    <row r="35" spans="1:6" ht="15.75" customHeight="1" x14ac:dyDescent="0.15">
      <c r="A35" s="4" t="s">
        <v>22</v>
      </c>
      <c r="B35" s="6">
        <v>350</v>
      </c>
      <c r="C35" s="8">
        <v>1415872</v>
      </c>
      <c r="E35" s="2" t="s">
        <v>47</v>
      </c>
      <c r="F35" s="3">
        <v>114309300</v>
      </c>
    </row>
    <row r="36" spans="1:6" ht="15.75" customHeight="1" x14ac:dyDescent="0.15">
      <c r="A36" s="4" t="s">
        <v>28</v>
      </c>
      <c r="B36" s="6">
        <v>150</v>
      </c>
      <c r="C36" s="8">
        <v>3155070</v>
      </c>
      <c r="E36" s="2" t="s">
        <v>19</v>
      </c>
      <c r="F36" s="3">
        <v>2340742275</v>
      </c>
    </row>
    <row r="37" spans="1:6" ht="15.75" customHeight="1" x14ac:dyDescent="0.15">
      <c r="A37" s="4" t="s">
        <v>38</v>
      </c>
      <c r="B37" s="6">
        <v>150</v>
      </c>
      <c r="C37" s="8">
        <v>2976149</v>
      </c>
      <c r="E37" s="2" t="s">
        <v>44</v>
      </c>
      <c r="F37" s="3">
        <v>694448410.5</v>
      </c>
    </row>
    <row r="38" spans="1:6" ht="15.75" customHeight="1" x14ac:dyDescent="0.15">
      <c r="A38" s="4" t="s">
        <v>43</v>
      </c>
      <c r="B38" s="6">
        <v>300</v>
      </c>
      <c r="C38" s="8">
        <v>1359711</v>
      </c>
      <c r="E38" s="2" t="s">
        <v>39</v>
      </c>
      <c r="F38" s="3">
        <v>951099693.5</v>
      </c>
    </row>
    <row r="39" spans="1:6" ht="15.75" customHeight="1" x14ac:dyDescent="0.15">
      <c r="A39" s="4" t="s">
        <v>48</v>
      </c>
      <c r="B39" s="6">
        <v>350</v>
      </c>
      <c r="C39" s="8">
        <v>1059361</v>
      </c>
      <c r="E39" s="2" t="s">
        <v>9</v>
      </c>
      <c r="F39" s="3">
        <v>3840596700</v>
      </c>
    </row>
    <row r="40" spans="1:6" ht="13" x14ac:dyDescent="0.15">
      <c r="A40" s="4" t="s">
        <v>46</v>
      </c>
      <c r="B40" s="6">
        <v>175</v>
      </c>
      <c r="C40" s="8">
        <v>2096829</v>
      </c>
      <c r="E40" s="2" t="s">
        <v>48</v>
      </c>
      <c r="F40" s="3">
        <v>370776350</v>
      </c>
    </row>
    <row r="41" spans="1:6" ht="13" x14ac:dyDescent="0.15">
      <c r="A41" s="4" t="s">
        <v>41</v>
      </c>
      <c r="B41" s="6">
        <v>175.5</v>
      </c>
      <c r="C41" s="8">
        <v>1934408</v>
      </c>
      <c r="E41" s="2" t="s">
        <v>36</v>
      </c>
      <c r="F41" s="3">
        <v>1029742800</v>
      </c>
    </row>
    <row r="42" spans="1:6" ht="13" x14ac:dyDescent="0.15">
      <c r="A42" s="4" t="s">
        <v>49</v>
      </c>
      <c r="B42" s="6">
        <v>175</v>
      </c>
      <c r="C42" s="8">
        <v>1792147</v>
      </c>
      <c r="E42" s="2" t="s">
        <v>50</v>
      </c>
      <c r="F42" s="3">
        <v>132698850</v>
      </c>
    </row>
    <row r="43" spans="1:6" ht="13" x14ac:dyDescent="0.15">
      <c r="A43" s="4" t="s">
        <v>34</v>
      </c>
      <c r="B43" s="6">
        <v>225.75</v>
      </c>
      <c r="C43" s="8">
        <v>1344212</v>
      </c>
      <c r="E43" s="2" t="s">
        <v>33</v>
      </c>
      <c r="F43" s="3">
        <v>1196812743.5</v>
      </c>
    </row>
    <row r="44" spans="1:6" ht="13" x14ac:dyDescent="0.15">
      <c r="A44" s="4" t="s">
        <v>23</v>
      </c>
      <c r="B44" s="6">
        <v>125.5</v>
      </c>
      <c r="C44" s="8">
        <v>1787065</v>
      </c>
      <c r="E44" s="2" t="s">
        <v>5</v>
      </c>
      <c r="F44" s="3">
        <v>6545820135.75</v>
      </c>
    </row>
    <row r="45" spans="1:6" ht="13" x14ac:dyDescent="0.15">
      <c r="A45" s="4" t="s">
        <v>6</v>
      </c>
      <c r="B45" s="6">
        <v>300.25</v>
      </c>
      <c r="C45" s="8">
        <v>731545</v>
      </c>
      <c r="E45" s="2" t="s">
        <v>45</v>
      </c>
      <c r="F45" s="3">
        <v>562645629</v>
      </c>
    </row>
    <row r="46" spans="1:6" ht="13" x14ac:dyDescent="0.15">
      <c r="A46" s="4" t="s">
        <v>17</v>
      </c>
      <c r="B46" s="6">
        <v>175.5</v>
      </c>
      <c r="C46" s="8">
        <v>973764</v>
      </c>
      <c r="E46" s="2" t="s">
        <v>51</v>
      </c>
      <c r="F46" s="3">
        <v>140865516.75</v>
      </c>
    </row>
    <row r="47" spans="1:6" ht="13" x14ac:dyDescent="0.15">
      <c r="A47" s="4" t="s">
        <v>51</v>
      </c>
      <c r="B47" s="6">
        <v>225.75</v>
      </c>
      <c r="C47" s="8">
        <v>623989</v>
      </c>
      <c r="E47" s="2" t="s">
        <v>16</v>
      </c>
      <c r="F47" s="3">
        <v>2560655700</v>
      </c>
    </row>
    <row r="48" spans="1:6" ht="13" x14ac:dyDescent="0.15">
      <c r="A48" s="4" t="s">
        <v>40</v>
      </c>
      <c r="B48" s="6">
        <v>125.5</v>
      </c>
      <c r="C48" s="8">
        <v>1068778</v>
      </c>
      <c r="E48" s="2" t="s">
        <v>25</v>
      </c>
      <c r="F48" s="3">
        <v>1909434419.75</v>
      </c>
    </row>
    <row r="49" spans="1:6" ht="13" x14ac:dyDescent="0.15">
      <c r="A49" s="4" t="s">
        <v>50</v>
      </c>
      <c r="B49" s="6">
        <v>150</v>
      </c>
      <c r="C49" s="8">
        <v>884659</v>
      </c>
      <c r="E49" s="2" t="s">
        <v>49</v>
      </c>
      <c r="F49" s="3">
        <v>313625725</v>
      </c>
    </row>
    <row r="50" spans="1:6" ht="13" x14ac:dyDescent="0.15">
      <c r="A50" s="4" t="s">
        <v>47</v>
      </c>
      <c r="B50" s="6">
        <v>150</v>
      </c>
      <c r="C50" s="8">
        <v>762062</v>
      </c>
      <c r="E50" s="2" t="s">
        <v>35</v>
      </c>
      <c r="F50" s="3">
        <v>1165942408.5</v>
      </c>
    </row>
    <row r="51" spans="1:6" ht="13" x14ac:dyDescent="0.15">
      <c r="A51" s="4" t="s">
        <v>52</v>
      </c>
      <c r="B51" s="6">
        <v>125.5</v>
      </c>
      <c r="C51" s="8">
        <v>578759</v>
      </c>
      <c r="E51" s="2" t="s">
        <v>52</v>
      </c>
      <c r="F51" s="3">
        <v>72634254.5</v>
      </c>
    </row>
    <row r="52" spans="1:6" ht="13" x14ac:dyDescent="0.15">
      <c r="E52" s="2" t="s">
        <v>53</v>
      </c>
      <c r="F52" s="3">
        <v>3533843771129.5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51"/>
  <sheetViews>
    <sheetView topLeftCell="A29" workbookViewId="0">
      <pane xSplit="1" topLeftCell="B1" activePane="topRight" state="frozen"/>
      <selection pane="topRight"/>
    </sheetView>
  </sheetViews>
  <sheetFormatPr baseColWidth="10" defaultColWidth="12.6640625" defaultRowHeight="15.75" customHeight="1" x14ac:dyDescent="0.15"/>
  <cols>
    <col min="2" max="2" width="19.1640625" customWidth="1"/>
    <col min="3" max="4" width="21.6640625" customWidth="1"/>
  </cols>
  <sheetData>
    <row r="1" spans="1:4" ht="15.75" customHeight="1" x14ac:dyDescent="0.15">
      <c r="A1" t="s">
        <v>0</v>
      </c>
      <c r="B1" s="3" t="s">
        <v>1</v>
      </c>
      <c r="C1" s="3" t="s">
        <v>60</v>
      </c>
      <c r="D1" s="3" t="s">
        <v>61</v>
      </c>
    </row>
    <row r="2" spans="1:4" ht="15.75" customHeight="1" x14ac:dyDescent="0.15">
      <c r="A2" t="s">
        <v>22</v>
      </c>
      <c r="B2" s="3">
        <v>350</v>
      </c>
      <c r="C2" s="3">
        <v>200</v>
      </c>
      <c r="D2" s="3">
        <v>800</v>
      </c>
    </row>
    <row r="3" spans="1:4" ht="15.75" customHeight="1" x14ac:dyDescent="0.15">
      <c r="A3" t="s">
        <v>18</v>
      </c>
      <c r="B3" s="3">
        <v>350</v>
      </c>
      <c r="C3" s="3">
        <v>200</v>
      </c>
      <c r="D3" s="3">
        <v>800</v>
      </c>
    </row>
    <row r="4" spans="1:4" ht="15.75" customHeight="1" x14ac:dyDescent="0.15">
      <c r="A4" t="s">
        <v>12</v>
      </c>
      <c r="B4" s="3">
        <v>350</v>
      </c>
      <c r="C4" s="3">
        <v>200</v>
      </c>
      <c r="D4" s="3">
        <v>800</v>
      </c>
    </row>
    <row r="5" spans="1:4" ht="15.75" customHeight="1" x14ac:dyDescent="0.15">
      <c r="A5" t="s">
        <v>48</v>
      </c>
      <c r="B5" s="3">
        <v>350</v>
      </c>
      <c r="C5" s="3">
        <v>200</v>
      </c>
      <c r="D5" s="3">
        <v>800</v>
      </c>
    </row>
    <row r="6" spans="1:4" ht="15.75" customHeight="1" x14ac:dyDescent="0.15">
      <c r="A6" t="s">
        <v>6</v>
      </c>
      <c r="B6" s="3">
        <v>300.25</v>
      </c>
      <c r="C6" s="3">
        <v>100</v>
      </c>
      <c r="D6" s="3">
        <v>750</v>
      </c>
    </row>
    <row r="7" spans="1:4" ht="15.75" customHeight="1" x14ac:dyDescent="0.15">
      <c r="A7" t="s">
        <v>15</v>
      </c>
      <c r="B7" s="3">
        <v>300</v>
      </c>
      <c r="C7" s="3">
        <v>150</v>
      </c>
      <c r="D7" s="3">
        <v>700</v>
      </c>
    </row>
    <row r="8" spans="1:4" ht="15.75" customHeight="1" x14ac:dyDescent="0.15">
      <c r="A8" t="s">
        <v>27</v>
      </c>
      <c r="B8" s="3">
        <v>300</v>
      </c>
      <c r="C8" s="3">
        <v>150</v>
      </c>
      <c r="D8" s="3">
        <v>700</v>
      </c>
    </row>
    <row r="9" spans="1:4" ht="15.75" customHeight="1" x14ac:dyDescent="0.15">
      <c r="A9" t="s">
        <v>43</v>
      </c>
      <c r="B9" s="3">
        <v>300</v>
      </c>
      <c r="C9" s="3">
        <v>150</v>
      </c>
      <c r="D9" s="3">
        <v>700</v>
      </c>
    </row>
    <row r="10" spans="1:4" ht="15.75" customHeight="1" x14ac:dyDescent="0.15">
      <c r="A10" t="s">
        <v>9</v>
      </c>
      <c r="B10" s="3">
        <v>300</v>
      </c>
      <c r="C10" s="3">
        <v>150</v>
      </c>
      <c r="D10" s="3">
        <v>700</v>
      </c>
    </row>
    <row r="11" spans="1:4" ht="15.75" customHeight="1" x14ac:dyDescent="0.15">
      <c r="A11" t="s">
        <v>16</v>
      </c>
      <c r="B11" s="3">
        <v>300</v>
      </c>
      <c r="C11" s="3">
        <v>150</v>
      </c>
      <c r="D11" s="3">
        <v>700</v>
      </c>
    </row>
    <row r="12" spans="1:4" ht="15.75" customHeight="1" x14ac:dyDescent="0.15">
      <c r="A12" t="s">
        <v>3</v>
      </c>
      <c r="B12" s="3">
        <v>250.75</v>
      </c>
      <c r="C12" s="3">
        <v>50</v>
      </c>
      <c r="D12" s="3">
        <v>600</v>
      </c>
    </row>
    <row r="13" spans="1:4" ht="15.75" customHeight="1" x14ac:dyDescent="0.15">
      <c r="A13" t="s">
        <v>42</v>
      </c>
      <c r="B13" s="3">
        <v>250.75</v>
      </c>
      <c r="C13" s="3">
        <v>50</v>
      </c>
      <c r="D13" s="3">
        <v>600</v>
      </c>
    </row>
    <row r="14" spans="1:4" ht="15.75" customHeight="1" x14ac:dyDescent="0.15">
      <c r="A14" t="s">
        <v>25</v>
      </c>
      <c r="B14" s="3">
        <v>250.75</v>
      </c>
      <c r="C14" s="3">
        <v>50</v>
      </c>
      <c r="D14" s="3">
        <v>600</v>
      </c>
    </row>
    <row r="15" spans="1:4" ht="15.75" customHeight="1" x14ac:dyDescent="0.15">
      <c r="A15" t="s">
        <v>14</v>
      </c>
      <c r="B15" s="3">
        <v>225.75</v>
      </c>
      <c r="C15" s="3">
        <v>100</v>
      </c>
      <c r="D15" s="3">
        <v>500</v>
      </c>
    </row>
    <row r="16" spans="1:4" ht="15.75" customHeight="1" x14ac:dyDescent="0.15">
      <c r="A16" t="s">
        <v>34</v>
      </c>
      <c r="B16" s="3">
        <v>225.75</v>
      </c>
      <c r="C16" s="3">
        <v>100</v>
      </c>
      <c r="D16" s="3">
        <v>500</v>
      </c>
    </row>
    <row r="17" spans="1:4" ht="15.75" customHeight="1" x14ac:dyDescent="0.15">
      <c r="A17" t="s">
        <v>7</v>
      </c>
      <c r="B17" s="3">
        <v>225.75</v>
      </c>
      <c r="C17" s="3">
        <v>100</v>
      </c>
      <c r="D17" s="3">
        <v>500</v>
      </c>
    </row>
    <row r="18" spans="1:4" ht="15.75" customHeight="1" x14ac:dyDescent="0.15">
      <c r="A18" t="s">
        <v>5</v>
      </c>
      <c r="B18" s="3">
        <v>225.75</v>
      </c>
      <c r="C18" s="3">
        <v>100</v>
      </c>
      <c r="D18" s="3">
        <v>500</v>
      </c>
    </row>
    <row r="19" spans="1:4" ht="15.75" customHeight="1" x14ac:dyDescent="0.15">
      <c r="A19" t="s">
        <v>51</v>
      </c>
      <c r="B19" s="3">
        <v>225.75</v>
      </c>
      <c r="C19" s="3">
        <v>100</v>
      </c>
      <c r="D19" s="3">
        <v>500</v>
      </c>
    </row>
    <row r="20" spans="1:4" ht="15.75" customHeight="1" x14ac:dyDescent="0.15">
      <c r="A20" t="s">
        <v>13</v>
      </c>
      <c r="B20" s="3">
        <v>225.5</v>
      </c>
      <c r="C20" s="3">
        <v>100</v>
      </c>
      <c r="D20" s="3">
        <v>500</v>
      </c>
    </row>
    <row r="21" spans="1:4" ht="15.75" customHeight="1" x14ac:dyDescent="0.15">
      <c r="A21" t="s">
        <v>21</v>
      </c>
      <c r="B21" s="3">
        <v>225.5</v>
      </c>
      <c r="C21" s="3">
        <v>100</v>
      </c>
      <c r="D21" s="3">
        <v>500</v>
      </c>
    </row>
    <row r="22" spans="1:4" ht="15.75" customHeight="1" x14ac:dyDescent="0.15">
      <c r="A22" t="s">
        <v>39</v>
      </c>
      <c r="B22" s="3">
        <v>225.5</v>
      </c>
      <c r="C22" s="3">
        <v>100</v>
      </c>
      <c r="D22" s="3">
        <v>500</v>
      </c>
    </row>
    <row r="23" spans="1:4" ht="15.75" customHeight="1" x14ac:dyDescent="0.15">
      <c r="A23" t="s">
        <v>4</v>
      </c>
      <c r="B23" s="3">
        <v>200.5</v>
      </c>
      <c r="C23" s="3">
        <v>50</v>
      </c>
      <c r="D23" s="3">
        <v>500</v>
      </c>
    </row>
    <row r="24" spans="1:4" ht="15.75" customHeight="1" x14ac:dyDescent="0.15">
      <c r="A24" t="s">
        <v>26</v>
      </c>
      <c r="B24" s="3">
        <v>200.25</v>
      </c>
      <c r="C24" s="3">
        <v>75</v>
      </c>
      <c r="D24" s="3">
        <v>400</v>
      </c>
    </row>
    <row r="25" spans="1:4" ht="15.75" customHeight="1" x14ac:dyDescent="0.15">
      <c r="A25" t="s">
        <v>31</v>
      </c>
      <c r="B25" s="3">
        <v>200.25</v>
      </c>
      <c r="C25" s="3">
        <v>75</v>
      </c>
      <c r="D25" s="3">
        <v>400</v>
      </c>
    </row>
    <row r="26" spans="1:4" ht="15.75" customHeight="1" x14ac:dyDescent="0.15">
      <c r="A26" t="s">
        <v>19</v>
      </c>
      <c r="B26" s="3">
        <v>200.25</v>
      </c>
      <c r="C26" s="3">
        <v>75</v>
      </c>
      <c r="D26" s="3">
        <v>400</v>
      </c>
    </row>
    <row r="27" spans="1:4" ht="15.75" customHeight="1" x14ac:dyDescent="0.15">
      <c r="A27" t="s">
        <v>35</v>
      </c>
      <c r="B27" s="3">
        <v>200.25</v>
      </c>
      <c r="C27" s="3">
        <v>75</v>
      </c>
      <c r="D27" s="3">
        <v>400</v>
      </c>
    </row>
    <row r="28" spans="1:4" ht="15.75" customHeight="1" x14ac:dyDescent="0.15">
      <c r="A28" t="s">
        <v>20</v>
      </c>
      <c r="B28" s="3">
        <v>200</v>
      </c>
      <c r="C28" s="3">
        <v>75</v>
      </c>
      <c r="D28" s="3">
        <v>450</v>
      </c>
    </row>
    <row r="29" spans="1:4" ht="15.75" customHeight="1" x14ac:dyDescent="0.15">
      <c r="A29" t="s">
        <v>32</v>
      </c>
      <c r="B29" s="3">
        <v>200</v>
      </c>
      <c r="C29" s="3">
        <v>75</v>
      </c>
      <c r="D29" s="3">
        <v>450</v>
      </c>
    </row>
    <row r="30" spans="1:4" ht="15.75" customHeight="1" x14ac:dyDescent="0.15">
      <c r="A30" t="s">
        <v>24</v>
      </c>
      <c r="B30" s="3">
        <v>200</v>
      </c>
      <c r="C30" s="3">
        <v>75</v>
      </c>
      <c r="D30" s="3">
        <v>450</v>
      </c>
    </row>
    <row r="31" spans="1:4" ht="15.75" customHeight="1" x14ac:dyDescent="0.15">
      <c r="A31" t="s">
        <v>36</v>
      </c>
      <c r="B31" s="3">
        <v>200</v>
      </c>
      <c r="C31" s="3">
        <v>75</v>
      </c>
      <c r="D31" s="3">
        <v>450</v>
      </c>
    </row>
    <row r="32" spans="1:4" ht="15.75" customHeight="1" x14ac:dyDescent="0.15">
      <c r="A32" t="s">
        <v>17</v>
      </c>
      <c r="B32" s="3">
        <v>175.5</v>
      </c>
      <c r="C32" s="3">
        <v>75</v>
      </c>
      <c r="D32" s="3">
        <v>350</v>
      </c>
    </row>
    <row r="33" spans="1:4" ht="15.75" customHeight="1" x14ac:dyDescent="0.15">
      <c r="A33" t="s">
        <v>29</v>
      </c>
      <c r="B33" s="3">
        <v>175.5</v>
      </c>
      <c r="C33" s="3">
        <v>50</v>
      </c>
      <c r="D33" s="3">
        <v>350</v>
      </c>
    </row>
    <row r="34" spans="1:4" ht="15.75" customHeight="1" x14ac:dyDescent="0.15">
      <c r="A34" t="s">
        <v>37</v>
      </c>
      <c r="B34" s="3">
        <v>175.5</v>
      </c>
      <c r="C34" s="3">
        <v>75</v>
      </c>
      <c r="D34" s="3">
        <v>400</v>
      </c>
    </row>
    <row r="35" spans="1:4" ht="15.75" customHeight="1" x14ac:dyDescent="0.15">
      <c r="A35" t="s">
        <v>41</v>
      </c>
      <c r="B35" s="3">
        <v>175.5</v>
      </c>
      <c r="C35" s="3">
        <v>50</v>
      </c>
      <c r="D35" s="3">
        <v>350</v>
      </c>
    </row>
    <row r="36" spans="1:4" ht="15.75" customHeight="1" x14ac:dyDescent="0.15">
      <c r="A36" t="s">
        <v>44</v>
      </c>
      <c r="B36" s="3">
        <v>175.5</v>
      </c>
      <c r="C36" s="3">
        <v>50</v>
      </c>
      <c r="D36" s="3">
        <v>350</v>
      </c>
    </row>
    <row r="37" spans="1:4" ht="15.75" customHeight="1" x14ac:dyDescent="0.15">
      <c r="A37" t="s">
        <v>45</v>
      </c>
      <c r="B37" s="3">
        <v>175.5</v>
      </c>
      <c r="C37" s="3">
        <v>50</v>
      </c>
      <c r="D37" s="3">
        <v>350</v>
      </c>
    </row>
    <row r="38" spans="1:4" ht="15.75" customHeight="1" x14ac:dyDescent="0.15">
      <c r="A38" t="s">
        <v>11</v>
      </c>
      <c r="B38" s="3">
        <v>175.25</v>
      </c>
      <c r="C38" s="3">
        <v>50</v>
      </c>
      <c r="D38" s="3">
        <v>400</v>
      </c>
    </row>
    <row r="39" spans="1:4" ht="15.75" customHeight="1" x14ac:dyDescent="0.15">
      <c r="A39" t="s">
        <v>33</v>
      </c>
      <c r="B39" s="3">
        <v>175.25</v>
      </c>
      <c r="C39" s="3">
        <v>50</v>
      </c>
      <c r="D39" s="3">
        <v>400</v>
      </c>
    </row>
    <row r="40" spans="1:4" ht="13" x14ac:dyDescent="0.15">
      <c r="A40" t="s">
        <v>10</v>
      </c>
      <c r="B40" s="3">
        <v>175</v>
      </c>
      <c r="C40" s="3">
        <v>75</v>
      </c>
      <c r="D40" s="3">
        <v>400</v>
      </c>
    </row>
    <row r="41" spans="1:4" ht="13" x14ac:dyDescent="0.15">
      <c r="A41" t="s">
        <v>30</v>
      </c>
      <c r="B41" s="3">
        <v>175</v>
      </c>
      <c r="C41" s="3">
        <v>75</v>
      </c>
      <c r="D41" s="3">
        <v>400</v>
      </c>
    </row>
    <row r="42" spans="1:4" ht="13" x14ac:dyDescent="0.15">
      <c r="A42" t="s">
        <v>46</v>
      </c>
      <c r="B42" s="3">
        <v>175</v>
      </c>
      <c r="C42" s="3">
        <v>75</v>
      </c>
      <c r="D42" s="3">
        <v>400</v>
      </c>
    </row>
    <row r="43" spans="1:4" ht="13" x14ac:dyDescent="0.15">
      <c r="A43" t="s">
        <v>49</v>
      </c>
      <c r="B43" s="3">
        <v>175</v>
      </c>
      <c r="C43" s="3">
        <v>75</v>
      </c>
      <c r="D43" s="3">
        <v>400</v>
      </c>
    </row>
    <row r="44" spans="1:4" ht="13" x14ac:dyDescent="0.15">
      <c r="A44" t="s">
        <v>8</v>
      </c>
      <c r="B44" s="3">
        <v>150</v>
      </c>
      <c r="C44" s="3">
        <v>25</v>
      </c>
      <c r="D44" s="3">
        <v>300</v>
      </c>
    </row>
    <row r="45" spans="1:4" ht="13" x14ac:dyDescent="0.15">
      <c r="A45" t="s">
        <v>28</v>
      </c>
      <c r="B45" s="3">
        <v>150</v>
      </c>
      <c r="C45" s="3">
        <v>50</v>
      </c>
      <c r="D45" s="3">
        <v>250</v>
      </c>
    </row>
    <row r="46" spans="1:4" ht="13" x14ac:dyDescent="0.15">
      <c r="A46" t="s">
        <v>38</v>
      </c>
      <c r="B46" s="3">
        <v>150</v>
      </c>
      <c r="C46" s="3">
        <v>25</v>
      </c>
      <c r="D46" s="3">
        <v>300</v>
      </c>
    </row>
    <row r="47" spans="1:4" ht="13" x14ac:dyDescent="0.15">
      <c r="A47" t="s">
        <v>47</v>
      </c>
      <c r="B47" s="3">
        <v>150</v>
      </c>
      <c r="C47" s="3">
        <v>50</v>
      </c>
      <c r="D47" s="3">
        <v>250</v>
      </c>
    </row>
    <row r="48" spans="1:4" ht="13" x14ac:dyDescent="0.15">
      <c r="A48" t="s">
        <v>50</v>
      </c>
      <c r="B48" s="3">
        <v>150</v>
      </c>
      <c r="C48" s="3">
        <v>50</v>
      </c>
      <c r="D48" s="3">
        <v>250</v>
      </c>
    </row>
    <row r="49" spans="1:4" ht="13" x14ac:dyDescent="0.15">
      <c r="A49" t="s">
        <v>23</v>
      </c>
      <c r="B49" s="3">
        <v>125.5</v>
      </c>
      <c r="C49" s="3">
        <v>50</v>
      </c>
      <c r="D49" s="3">
        <v>300</v>
      </c>
    </row>
    <row r="50" spans="1:4" ht="13" x14ac:dyDescent="0.15">
      <c r="A50" t="s">
        <v>40</v>
      </c>
      <c r="B50" s="3">
        <v>125.5</v>
      </c>
      <c r="C50" s="3">
        <v>50</v>
      </c>
      <c r="D50" s="3">
        <v>300</v>
      </c>
    </row>
    <row r="51" spans="1:4" ht="13" x14ac:dyDescent="0.15">
      <c r="A51" t="s">
        <v>52</v>
      </c>
      <c r="B51" s="3">
        <v>125.5</v>
      </c>
      <c r="C51" s="3">
        <v>50</v>
      </c>
      <c r="D51" s="3">
        <v>300</v>
      </c>
    </row>
  </sheetData>
  <sortState xmlns:xlrd2="http://schemas.microsoft.com/office/spreadsheetml/2017/richdata2" ref="A2:D51">
    <sortCondition descending="1" ref="B1:B51"/>
  </sortState>
  <conditionalFormatting sqref="B1:B1048576">
    <cfRule type="top10" dxfId="5" priority="3" rank="10"/>
  </conditionalFormatting>
  <conditionalFormatting sqref="C1:C1048576">
    <cfRule type="top10" dxfId="4" priority="2" rank="10"/>
  </conditionalFormatting>
  <conditionalFormatting sqref="D1:D1048576">
    <cfRule type="top10" dxfId="3" priority="1" rank="1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42"/>
  <sheetViews>
    <sheetView topLeftCell="E1" zoomScale="70" zoomScaleNormal="70" workbookViewId="0">
      <selection activeCell="F35" sqref="F35"/>
    </sheetView>
  </sheetViews>
  <sheetFormatPr baseColWidth="10" defaultColWidth="12.6640625" defaultRowHeight="15.75" customHeight="1" x14ac:dyDescent="0.15"/>
  <cols>
    <col min="2" max="4" width="12.6640625" style="3"/>
    <col min="5" max="5" width="13.6640625" style="3" bestFit="1" customWidth="1"/>
    <col min="7" max="7" width="13.1640625" bestFit="1" customWidth="1"/>
    <col min="8" max="8" width="24.5" bestFit="1" customWidth="1"/>
    <col min="9" max="9" width="27" bestFit="1" customWidth="1"/>
  </cols>
  <sheetData>
    <row r="1" spans="1:5" ht="15.75" customHeight="1" x14ac:dyDescent="0.15">
      <c r="A1" s="4" t="s">
        <v>0</v>
      </c>
      <c r="B1" s="5" t="s">
        <v>54</v>
      </c>
      <c r="C1" s="5" t="s">
        <v>55</v>
      </c>
      <c r="D1" s="5" t="s">
        <v>56</v>
      </c>
      <c r="E1" s="5" t="s">
        <v>57</v>
      </c>
    </row>
    <row r="2" spans="1:5" ht="15.75" customHeight="1" x14ac:dyDescent="0.15">
      <c r="A2" s="4" t="s">
        <v>4</v>
      </c>
      <c r="B2" s="6">
        <v>1797.5</v>
      </c>
      <c r="C2" s="6">
        <v>1200</v>
      </c>
      <c r="D2" s="6">
        <v>2500</v>
      </c>
      <c r="E2" s="6">
        <v>1138459.3899999999</v>
      </c>
    </row>
    <row r="3" spans="1:5" ht="15.75" customHeight="1" x14ac:dyDescent="0.15">
      <c r="A3" s="4" t="s">
        <v>6</v>
      </c>
      <c r="B3" s="6">
        <v>2684</v>
      </c>
      <c r="C3" s="6">
        <v>2000</v>
      </c>
      <c r="D3" s="6">
        <v>3500</v>
      </c>
      <c r="E3" s="6">
        <v>1969126.59</v>
      </c>
    </row>
    <row r="4" spans="1:5" ht="15.75" customHeight="1" x14ac:dyDescent="0.15">
      <c r="A4" s="4" t="s">
        <v>8</v>
      </c>
      <c r="B4" s="6">
        <v>2356.75</v>
      </c>
      <c r="C4" s="6">
        <v>1500</v>
      </c>
      <c r="D4" s="6">
        <v>4000</v>
      </c>
      <c r="E4" s="6">
        <v>2942282.99</v>
      </c>
    </row>
    <row r="5" spans="1:5" ht="15.75" customHeight="1" x14ac:dyDescent="0.15">
      <c r="A5" s="4" t="s">
        <v>10</v>
      </c>
      <c r="B5" s="6">
        <v>1499.25</v>
      </c>
      <c r="C5" s="6">
        <v>1000</v>
      </c>
      <c r="D5" s="6">
        <v>2500</v>
      </c>
      <c r="E5" s="6">
        <v>743958.99</v>
      </c>
    </row>
    <row r="6" spans="1:5" ht="15.75" customHeight="1" x14ac:dyDescent="0.15">
      <c r="A6" s="4" t="s">
        <v>3</v>
      </c>
      <c r="B6" s="6">
        <v>5832.5</v>
      </c>
      <c r="C6" s="6">
        <v>3500</v>
      </c>
      <c r="D6" s="6">
        <v>9000</v>
      </c>
      <c r="E6" s="6">
        <v>398315.7</v>
      </c>
    </row>
    <row r="7" spans="1:5" ht="15.75" customHeight="1" x14ac:dyDescent="0.15">
      <c r="A7" s="4" t="s">
        <v>13</v>
      </c>
      <c r="B7" s="6">
        <v>2987.25</v>
      </c>
      <c r="C7" s="6">
        <v>2000</v>
      </c>
      <c r="D7" s="6">
        <v>4500</v>
      </c>
      <c r="E7" s="6">
        <v>1225371.32</v>
      </c>
    </row>
    <row r="8" spans="1:5" ht="15.75" customHeight="1" x14ac:dyDescent="0.15">
      <c r="A8" s="4" t="s">
        <v>15</v>
      </c>
      <c r="B8" s="6">
        <v>3837</v>
      </c>
      <c r="C8" s="6">
        <v>3000</v>
      </c>
      <c r="D8" s="6">
        <v>5500</v>
      </c>
      <c r="E8" s="6">
        <v>1934226.24</v>
      </c>
    </row>
    <row r="9" spans="1:5" ht="15.75" customHeight="1" x14ac:dyDescent="0.15">
      <c r="A9" s="4" t="s">
        <v>17</v>
      </c>
      <c r="B9" s="6">
        <v>2289.75</v>
      </c>
      <c r="C9" s="6">
        <v>1500</v>
      </c>
      <c r="D9" s="6">
        <v>3500</v>
      </c>
      <c r="E9" s="6">
        <v>2265218.9900000002</v>
      </c>
    </row>
    <row r="10" spans="1:5" ht="15.75" customHeight="1" x14ac:dyDescent="0.15">
      <c r="A10" s="4" t="s">
        <v>11</v>
      </c>
      <c r="B10" s="6">
        <v>2763.5</v>
      </c>
      <c r="C10" s="6">
        <v>1500</v>
      </c>
      <c r="D10" s="6">
        <v>5000</v>
      </c>
      <c r="E10" s="6">
        <v>398984.51</v>
      </c>
    </row>
    <row r="11" spans="1:5" ht="15.75" customHeight="1" x14ac:dyDescent="0.15">
      <c r="A11" s="4" t="s">
        <v>20</v>
      </c>
      <c r="B11" s="6">
        <v>2065</v>
      </c>
      <c r="C11" s="6">
        <v>1200</v>
      </c>
      <c r="D11" s="6">
        <v>3500</v>
      </c>
      <c r="E11" s="6">
        <v>1193045.5900000001</v>
      </c>
    </row>
    <row r="12" spans="1:5" ht="15.75" customHeight="1" x14ac:dyDescent="0.15">
      <c r="A12" s="4" t="s">
        <v>22</v>
      </c>
      <c r="B12" s="6">
        <v>5975.5</v>
      </c>
      <c r="C12" s="6">
        <v>4500</v>
      </c>
      <c r="D12" s="6">
        <v>7500</v>
      </c>
      <c r="E12" s="6">
        <v>1555451.66</v>
      </c>
    </row>
    <row r="13" spans="1:5" ht="15.75" customHeight="1" x14ac:dyDescent="0.15">
      <c r="A13" s="4" t="s">
        <v>23</v>
      </c>
      <c r="B13" s="6">
        <v>1382</v>
      </c>
      <c r="C13" s="6">
        <v>800</v>
      </c>
      <c r="D13" s="6">
        <v>2500</v>
      </c>
      <c r="E13" s="6">
        <v>1459144.82</v>
      </c>
    </row>
    <row r="14" spans="1:5" ht="15.75" customHeight="1" x14ac:dyDescent="0.15">
      <c r="A14" s="4" t="s">
        <v>14</v>
      </c>
      <c r="B14" s="6">
        <v>2056.5</v>
      </c>
      <c r="C14" s="6">
        <v>1200</v>
      </c>
      <c r="D14" s="6">
        <v>3500</v>
      </c>
      <c r="E14" s="6">
        <v>1582131.16</v>
      </c>
    </row>
    <row r="15" spans="1:5" ht="15.75" customHeight="1" x14ac:dyDescent="0.15">
      <c r="A15" s="4" t="s">
        <v>26</v>
      </c>
      <c r="B15" s="6">
        <v>1704.75</v>
      </c>
      <c r="C15" s="6">
        <v>1000</v>
      </c>
      <c r="D15" s="6">
        <v>3000</v>
      </c>
      <c r="E15" s="6">
        <v>1662267.24</v>
      </c>
    </row>
    <row r="16" spans="1:5" ht="15.75" customHeight="1" x14ac:dyDescent="0.15">
      <c r="A16" s="4" t="s">
        <v>28</v>
      </c>
      <c r="B16" s="6">
        <v>1442.25</v>
      </c>
      <c r="C16" s="6">
        <v>1000</v>
      </c>
      <c r="D16" s="6">
        <v>2000</v>
      </c>
      <c r="E16" s="6">
        <v>1334086.99</v>
      </c>
    </row>
    <row r="17" spans="1:5" ht="15.75" customHeight="1" x14ac:dyDescent="0.15">
      <c r="A17" s="4" t="s">
        <v>29</v>
      </c>
      <c r="B17" s="6">
        <v>1479.5</v>
      </c>
      <c r="C17" s="6">
        <v>1000</v>
      </c>
      <c r="D17" s="6">
        <v>2500</v>
      </c>
      <c r="E17" s="6">
        <v>1579400.59</v>
      </c>
    </row>
    <row r="18" spans="1:5" ht="15.75" customHeight="1" x14ac:dyDescent="0.15">
      <c r="A18" s="4" t="s">
        <v>30</v>
      </c>
      <c r="B18" s="6">
        <v>1605</v>
      </c>
      <c r="C18" s="6">
        <v>1000</v>
      </c>
      <c r="D18" s="6">
        <v>3000</v>
      </c>
      <c r="E18" s="6">
        <v>1447839.66</v>
      </c>
    </row>
    <row r="19" spans="1:5" ht="15.75" customHeight="1" x14ac:dyDescent="0.15">
      <c r="A19" s="4" t="s">
        <v>32</v>
      </c>
      <c r="B19" s="6">
        <v>1718.5</v>
      </c>
      <c r="C19" s="6">
        <v>1000</v>
      </c>
      <c r="D19" s="6">
        <v>3000</v>
      </c>
      <c r="E19" s="6">
        <v>1319621.77</v>
      </c>
    </row>
    <row r="20" spans="1:5" ht="15.75" customHeight="1" x14ac:dyDescent="0.15">
      <c r="A20" s="4" t="s">
        <v>34</v>
      </c>
      <c r="B20" s="6">
        <v>2236</v>
      </c>
      <c r="C20" s="6">
        <v>1500</v>
      </c>
      <c r="D20" s="6">
        <v>3500</v>
      </c>
      <c r="E20" s="6">
        <v>1474001.82</v>
      </c>
    </row>
    <row r="21" spans="1:5" ht="15.75" customHeight="1" x14ac:dyDescent="0.15">
      <c r="A21" s="4" t="s">
        <v>27</v>
      </c>
      <c r="B21" s="6">
        <v>3122.75</v>
      </c>
      <c r="C21" s="6">
        <v>2000</v>
      </c>
      <c r="D21" s="6">
        <v>5000</v>
      </c>
      <c r="E21" s="6">
        <v>1780200.24</v>
      </c>
    </row>
    <row r="22" spans="1:5" ht="15.75" customHeight="1" x14ac:dyDescent="0.15">
      <c r="A22" s="4" t="s">
        <v>18</v>
      </c>
      <c r="B22" s="6">
        <v>4136.5</v>
      </c>
      <c r="C22" s="6">
        <v>3000</v>
      </c>
      <c r="D22" s="6">
        <v>6000</v>
      </c>
      <c r="E22" s="6">
        <v>1265705.5900000001</v>
      </c>
    </row>
    <row r="23" spans="1:5" ht="15.75" customHeight="1" x14ac:dyDescent="0.15">
      <c r="A23" s="4" t="s">
        <v>21</v>
      </c>
      <c r="B23" s="6">
        <v>1812.75</v>
      </c>
      <c r="C23" s="6">
        <v>1000</v>
      </c>
      <c r="D23" s="6">
        <v>3500</v>
      </c>
      <c r="E23" s="6">
        <v>1240631.3899999999</v>
      </c>
    </row>
    <row r="24" spans="1:5" ht="15.75" customHeight="1" x14ac:dyDescent="0.15">
      <c r="A24" s="4" t="s">
        <v>37</v>
      </c>
      <c r="B24" s="6">
        <v>2195.5</v>
      </c>
      <c r="C24" s="6">
        <v>1500</v>
      </c>
      <c r="D24" s="6">
        <v>4000</v>
      </c>
      <c r="E24" s="6">
        <v>1964784.74</v>
      </c>
    </row>
    <row r="25" spans="1:5" ht="15.75" customHeight="1" x14ac:dyDescent="0.15">
      <c r="A25" s="4" t="s">
        <v>38</v>
      </c>
      <c r="B25" s="6">
        <v>1499.25</v>
      </c>
      <c r="C25" s="6">
        <v>1000</v>
      </c>
      <c r="D25" s="6">
        <v>2500</v>
      </c>
      <c r="E25" s="6">
        <v>1429314.21</v>
      </c>
    </row>
    <row r="26" spans="1:5" ht="15.75" customHeight="1" x14ac:dyDescent="0.15">
      <c r="A26" s="4" t="s">
        <v>31</v>
      </c>
      <c r="B26" s="6">
        <v>1677.75</v>
      </c>
      <c r="C26" s="6">
        <v>1000</v>
      </c>
      <c r="D26" s="6">
        <v>1000</v>
      </c>
      <c r="E26" s="6">
        <v>877868.49</v>
      </c>
    </row>
    <row r="27" spans="1:5" ht="15.75" customHeight="1" x14ac:dyDescent="0.15">
      <c r="A27" s="4" t="s">
        <v>40</v>
      </c>
      <c r="B27" s="6">
        <v>1705</v>
      </c>
      <c r="C27" s="6">
        <v>1000</v>
      </c>
      <c r="D27" s="6">
        <v>3000</v>
      </c>
      <c r="E27" s="6">
        <v>1592558.99</v>
      </c>
    </row>
    <row r="28" spans="1:5" ht="15.75" customHeight="1" x14ac:dyDescent="0.15">
      <c r="A28" s="4" t="s">
        <v>41</v>
      </c>
      <c r="B28" s="6">
        <v>1459.25</v>
      </c>
      <c r="C28" s="6">
        <v>1000</v>
      </c>
      <c r="D28" s="6">
        <v>2500</v>
      </c>
      <c r="E28" s="6">
        <v>1527953.99</v>
      </c>
    </row>
    <row r="29" spans="1:5" ht="15.75" customHeight="1" x14ac:dyDescent="0.15">
      <c r="A29" s="4" t="s">
        <v>42</v>
      </c>
      <c r="B29" s="6">
        <v>2503</v>
      </c>
      <c r="C29" s="6">
        <v>1500</v>
      </c>
      <c r="D29" s="6">
        <v>5000</v>
      </c>
      <c r="E29" s="6">
        <v>1711246.49</v>
      </c>
    </row>
    <row r="30" spans="1:5" ht="15.75" customHeight="1" x14ac:dyDescent="0.15">
      <c r="A30" s="4" t="s">
        <v>7</v>
      </c>
      <c r="B30" s="6">
        <v>4968.75</v>
      </c>
      <c r="C30" s="6">
        <v>3500</v>
      </c>
      <c r="D30" s="6">
        <v>30000</v>
      </c>
      <c r="E30" s="6">
        <v>132103.72</v>
      </c>
    </row>
    <row r="31" spans="1:5" ht="15.75" customHeight="1" x14ac:dyDescent="0.15">
      <c r="A31" s="4" t="s">
        <v>19</v>
      </c>
      <c r="B31" s="6">
        <v>1797.5</v>
      </c>
      <c r="C31" s="6">
        <v>1200</v>
      </c>
      <c r="D31" s="6">
        <v>2500</v>
      </c>
      <c r="E31" s="6">
        <v>1887164.79</v>
      </c>
    </row>
    <row r="32" spans="1:5" ht="15.75" customHeight="1" x14ac:dyDescent="0.15">
      <c r="A32" s="4" t="s">
        <v>44</v>
      </c>
      <c r="B32" s="6">
        <v>1499.25</v>
      </c>
      <c r="C32" s="6">
        <v>1000</v>
      </c>
      <c r="D32" s="6">
        <v>2500</v>
      </c>
      <c r="E32" s="6">
        <v>2242746.13</v>
      </c>
    </row>
    <row r="33" spans="1:5" ht="15.75" customHeight="1" x14ac:dyDescent="0.15">
      <c r="A33" s="4" t="s">
        <v>39</v>
      </c>
      <c r="B33" s="6">
        <v>2684</v>
      </c>
      <c r="C33" s="6">
        <v>2000</v>
      </c>
      <c r="D33" s="6">
        <v>3500</v>
      </c>
      <c r="E33" s="6">
        <v>1619380.66</v>
      </c>
    </row>
    <row r="34" spans="1:5" ht="15.75" customHeight="1" x14ac:dyDescent="0.15">
      <c r="A34" s="4" t="s">
        <v>9</v>
      </c>
      <c r="B34" s="6">
        <v>2056.5</v>
      </c>
      <c r="C34" s="6">
        <v>1200</v>
      </c>
      <c r="D34" s="6">
        <v>3500</v>
      </c>
      <c r="E34" s="6">
        <v>1468978.82</v>
      </c>
    </row>
    <row r="35" spans="1:5" ht="15.75" customHeight="1" x14ac:dyDescent="0.15">
      <c r="A35" s="4" t="s">
        <v>33</v>
      </c>
      <c r="B35" s="6">
        <v>1812.75</v>
      </c>
      <c r="C35" s="6">
        <v>1000</v>
      </c>
      <c r="D35" s="6">
        <v>3500</v>
      </c>
      <c r="E35" s="6">
        <v>1898313.66</v>
      </c>
    </row>
    <row r="36" spans="1:5" ht="15.75" customHeight="1" x14ac:dyDescent="0.15">
      <c r="A36" s="4" t="s">
        <v>5</v>
      </c>
      <c r="B36" s="6">
        <v>2356.75</v>
      </c>
      <c r="C36" s="6">
        <v>1500</v>
      </c>
      <c r="D36" s="6">
        <v>4000</v>
      </c>
      <c r="E36" s="6">
        <v>821438.99</v>
      </c>
    </row>
    <row r="37" spans="1:5" ht="15.75" customHeight="1" x14ac:dyDescent="0.15">
      <c r="A37" s="4" t="s">
        <v>45</v>
      </c>
      <c r="B37" s="6">
        <v>2236</v>
      </c>
      <c r="C37" s="6">
        <v>1500</v>
      </c>
      <c r="D37" s="6">
        <v>3500</v>
      </c>
      <c r="E37" s="6">
        <v>1875361.16</v>
      </c>
    </row>
    <row r="38" spans="1:5" ht="15.75" customHeight="1" x14ac:dyDescent="0.15">
      <c r="A38" s="4" t="s">
        <v>51</v>
      </c>
      <c r="B38" s="6">
        <v>2356.75</v>
      </c>
      <c r="C38" s="6">
        <v>1500</v>
      </c>
      <c r="D38" s="6">
        <v>4000</v>
      </c>
      <c r="E38" s="6">
        <v>1174427.99</v>
      </c>
    </row>
    <row r="39" spans="1:5" ht="15.75" customHeight="1" x14ac:dyDescent="0.15">
      <c r="A39" s="4" t="s">
        <v>16</v>
      </c>
      <c r="B39" s="6">
        <v>2503</v>
      </c>
      <c r="C39" s="6">
        <v>1500</v>
      </c>
      <c r="D39" s="6">
        <v>5000</v>
      </c>
      <c r="E39" s="6">
        <v>1232170.99</v>
      </c>
    </row>
    <row r="40" spans="1:5" ht="13" x14ac:dyDescent="0.15">
      <c r="A40" s="4" t="s">
        <v>25</v>
      </c>
      <c r="B40" s="6">
        <v>3458.25</v>
      </c>
      <c r="C40" s="6">
        <v>2500</v>
      </c>
      <c r="D40" s="6">
        <v>5000</v>
      </c>
      <c r="E40" s="6">
        <v>1558317.49</v>
      </c>
    </row>
    <row r="41" spans="1:5" ht="13" x14ac:dyDescent="0.15">
      <c r="A41" s="4" t="s">
        <v>35</v>
      </c>
      <c r="B41" s="6">
        <v>1968.25</v>
      </c>
      <c r="C41" s="6">
        <v>1200</v>
      </c>
      <c r="D41" s="6">
        <v>3500</v>
      </c>
      <c r="E41" s="6">
        <v>620797.49</v>
      </c>
    </row>
    <row r="42" spans="1:5" ht="13" x14ac:dyDescent="0.15">
      <c r="A42" s="4" t="s">
        <v>52</v>
      </c>
      <c r="B42" s="6">
        <v>1968.25</v>
      </c>
      <c r="C42" s="6">
        <v>1200</v>
      </c>
      <c r="D42" s="6">
        <v>3500</v>
      </c>
      <c r="E42" s="6">
        <v>1671053.99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B1037-24D4-C14C-82AB-5CCD929FF117}">
  <dimension ref="A1:G51"/>
  <sheetViews>
    <sheetView tabSelected="1" topLeftCell="H39" zoomScale="80" zoomScaleNormal="80" workbookViewId="0">
      <selection activeCell="A54" sqref="A54"/>
    </sheetView>
  </sheetViews>
  <sheetFormatPr baseColWidth="10" defaultRowHeight="13" x14ac:dyDescent="0.15"/>
  <cols>
    <col min="2" max="3" width="11.1640625" bestFit="1" customWidth="1"/>
    <col min="4" max="4" width="12.1640625" bestFit="1" customWidth="1"/>
    <col min="5" max="7" width="11" bestFit="1" customWidth="1"/>
  </cols>
  <sheetData>
    <row r="1" spans="1:7" x14ac:dyDescent="0.15">
      <c r="A1" t="s">
        <v>0</v>
      </c>
      <c r="B1" s="3" t="s">
        <v>62</v>
      </c>
      <c r="C1" s="3" t="s">
        <v>63</v>
      </c>
      <c r="D1" s="3" t="s">
        <v>64</v>
      </c>
      <c r="E1" s="3" t="s">
        <v>1</v>
      </c>
      <c r="F1" s="3" t="s">
        <v>60</v>
      </c>
      <c r="G1" s="3" t="s">
        <v>61</v>
      </c>
    </row>
    <row r="2" spans="1:7" x14ac:dyDescent="0.15">
      <c r="A2" t="s">
        <v>4</v>
      </c>
      <c r="B2" s="3">
        <v>51113</v>
      </c>
      <c r="C2" s="3">
        <v>23999</v>
      </c>
      <c r="D2" s="3">
        <v>96993</v>
      </c>
      <c r="E2" s="3">
        <f>VLOOKUP($A2, 'Top 10 Health Spending'!$A$1:$D$51, 2, FALSE)</f>
        <v>200.5</v>
      </c>
      <c r="F2" s="3">
        <f>VLOOKUP($A2, 'Top 10 Health Spending'!$A$1:$D$51, 3, FALSE)</f>
        <v>50</v>
      </c>
      <c r="G2" s="3">
        <f>VLOOKUP($A2, 'Top 10 Health Spending'!$A$1:$D$51, 4, FALSE)</f>
        <v>500</v>
      </c>
    </row>
    <row r="3" spans="1:7" x14ac:dyDescent="0.15">
      <c r="A3" t="s">
        <v>6</v>
      </c>
      <c r="B3" s="3">
        <v>76440</v>
      </c>
      <c r="C3" s="3">
        <v>35219</v>
      </c>
      <c r="D3" s="3">
        <v>134318</v>
      </c>
      <c r="E3" s="3">
        <f>VLOOKUP($A3, 'Top 10 Health Spending'!$A$1:$D$51, 2, FALSE)</f>
        <v>300.25</v>
      </c>
      <c r="F3" s="3">
        <f>VLOOKUP($A3, 'Top 10 Health Spending'!$A$1:$D$51, 3, FALSE)</f>
        <v>100</v>
      </c>
      <c r="G3" s="3">
        <f>VLOOKUP($A3, 'Top 10 Health Spending'!$A$1:$D$51, 4, FALSE)</f>
        <v>750</v>
      </c>
    </row>
    <row r="4" spans="1:7" x14ac:dyDescent="0.15">
      <c r="A4" t="s">
        <v>8</v>
      </c>
      <c r="B4" s="3">
        <v>62283</v>
      </c>
      <c r="C4" s="3">
        <v>29466</v>
      </c>
      <c r="D4" s="3">
        <v>113589</v>
      </c>
      <c r="E4" s="3">
        <f>VLOOKUP($A4, 'Top 10 Health Spending'!$A$1:$D$51, 2, FALSE)</f>
        <v>150</v>
      </c>
      <c r="F4" s="3">
        <f>VLOOKUP($A4, 'Top 10 Health Spending'!$A$1:$D$51, 3, FALSE)</f>
        <v>25</v>
      </c>
      <c r="G4" s="3">
        <f>VLOOKUP($A4, 'Top 10 Health Spending'!$A$1:$D$51, 4, FALSE)</f>
        <v>300</v>
      </c>
    </row>
    <row r="5" spans="1:7" x14ac:dyDescent="0.15">
      <c r="A5" t="s">
        <v>10</v>
      </c>
      <c r="B5" s="3">
        <v>48829</v>
      </c>
      <c r="C5" s="3">
        <v>23028</v>
      </c>
      <c r="D5" s="3">
        <v>90052</v>
      </c>
      <c r="E5" s="3">
        <f>VLOOKUP($A5, 'Top 10 Health Spending'!$A$1:$D$51, 2, FALSE)</f>
        <v>175</v>
      </c>
      <c r="F5" s="3">
        <f>VLOOKUP($A5, 'Top 10 Health Spending'!$A$1:$D$51, 3, FALSE)</f>
        <v>75</v>
      </c>
      <c r="G5" s="3">
        <f>VLOOKUP($A5, 'Top 10 Health Spending'!$A$1:$D$51, 4, FALSE)</f>
        <v>400</v>
      </c>
    </row>
    <row r="6" spans="1:7" x14ac:dyDescent="0.15">
      <c r="A6" t="s">
        <v>3</v>
      </c>
      <c r="B6" s="3">
        <v>80440</v>
      </c>
      <c r="C6" s="3">
        <v>37698</v>
      </c>
      <c r="D6" s="3">
        <v>149265</v>
      </c>
      <c r="E6" s="3">
        <f>VLOOKUP($A6, 'Top 10 Health Spending'!$A$1:$D$51, 2, FALSE)</f>
        <v>250.75</v>
      </c>
      <c r="F6" s="3">
        <f>VLOOKUP($A6, 'Top 10 Health Spending'!$A$1:$D$51, 3, FALSE)</f>
        <v>50</v>
      </c>
      <c r="G6" s="3">
        <f>VLOOKUP($A6, 'Top 10 Health Spending'!$A$1:$D$51, 4, FALSE)</f>
        <v>600</v>
      </c>
    </row>
    <row r="7" spans="1:7" x14ac:dyDescent="0.15">
      <c r="A7" t="s">
        <v>13</v>
      </c>
      <c r="B7" s="3">
        <v>76240</v>
      </c>
      <c r="C7" s="3">
        <v>35636</v>
      </c>
      <c r="D7" s="3">
        <v>130714</v>
      </c>
      <c r="E7" s="3">
        <f>VLOOKUP($A7, 'Top 10 Health Spending'!$A$1:$D$51, 2, FALSE)</f>
        <v>225.5</v>
      </c>
      <c r="F7" s="3">
        <f>VLOOKUP($A7, 'Top 10 Health Spending'!$A$1:$D$51, 3, FALSE)</f>
        <v>100</v>
      </c>
      <c r="G7" s="3">
        <f>VLOOKUP($A7, 'Top 10 Health Spending'!$A$1:$D$51, 4, FALSE)</f>
        <v>500</v>
      </c>
    </row>
    <row r="8" spans="1:7" x14ac:dyDescent="0.15">
      <c r="A8" t="s">
        <v>15</v>
      </c>
      <c r="B8" s="3">
        <v>79287</v>
      </c>
      <c r="C8" s="3">
        <v>37426</v>
      </c>
      <c r="D8" s="3">
        <v>142596</v>
      </c>
      <c r="E8" s="3">
        <f>VLOOKUP($A8, 'Top 10 Health Spending'!$A$1:$D$51, 2, FALSE)</f>
        <v>300</v>
      </c>
      <c r="F8" s="3">
        <f>VLOOKUP($A8, 'Top 10 Health Spending'!$A$1:$D$51, 3, FALSE)</f>
        <v>150</v>
      </c>
      <c r="G8" s="3">
        <f>VLOOKUP($A8, 'Top 10 Health Spending'!$A$1:$D$51, 4, FALSE)</f>
        <v>700</v>
      </c>
    </row>
    <row r="9" spans="1:7" x14ac:dyDescent="0.15">
      <c r="A9" t="s">
        <v>17</v>
      </c>
      <c r="B9" s="3">
        <v>64040</v>
      </c>
      <c r="C9" s="3">
        <v>30544</v>
      </c>
      <c r="D9" s="3">
        <v>120324</v>
      </c>
      <c r="E9" s="3">
        <f>VLOOKUP($A9, 'Top 10 Health Spending'!$A$1:$D$51, 2, FALSE)</f>
        <v>175.5</v>
      </c>
      <c r="F9" s="3">
        <f>VLOOKUP($A9, 'Top 10 Health Spending'!$A$1:$D$51, 3, FALSE)</f>
        <v>75</v>
      </c>
      <c r="G9" s="3">
        <f>VLOOKUP($A9, 'Top 10 Health Spending'!$A$1:$D$51, 4, FALSE)</f>
        <v>350</v>
      </c>
    </row>
    <row r="10" spans="1:7" x14ac:dyDescent="0.15">
      <c r="A10" t="s">
        <v>11</v>
      </c>
      <c r="B10" s="3">
        <v>58108</v>
      </c>
      <c r="C10" s="3">
        <v>27064</v>
      </c>
      <c r="D10" s="3">
        <v>105773</v>
      </c>
      <c r="E10" s="3">
        <f>VLOOKUP($A10, 'Top 10 Health Spending'!$A$1:$D$51, 2, FALSE)</f>
        <v>175.25</v>
      </c>
      <c r="F10" s="3">
        <f>VLOOKUP($A10, 'Top 10 Health Spending'!$A$1:$D$51, 3, FALSE)</f>
        <v>50</v>
      </c>
      <c r="G10" s="3">
        <f>VLOOKUP($A10, 'Top 10 Health Spending'!$A$1:$D$51, 4, FALSE)</f>
        <v>400</v>
      </c>
    </row>
    <row r="11" spans="1:7" x14ac:dyDescent="0.15">
      <c r="A11" t="s">
        <v>20</v>
      </c>
      <c r="B11" s="3">
        <v>58932</v>
      </c>
      <c r="C11" s="3">
        <v>27609</v>
      </c>
      <c r="D11" s="3">
        <v>112609</v>
      </c>
      <c r="E11" s="3">
        <f>VLOOKUP($A11, 'Top 10 Health Spending'!$A$1:$D$51, 2, FALSE)</f>
        <v>200</v>
      </c>
      <c r="F11" s="3">
        <f>VLOOKUP($A11, 'Top 10 Health Spending'!$A$1:$D$51, 3, FALSE)</f>
        <v>75</v>
      </c>
      <c r="G11" s="3">
        <f>VLOOKUP($A11, 'Top 10 Health Spending'!$A$1:$D$51, 4, FALSE)</f>
        <v>450</v>
      </c>
    </row>
    <row r="12" spans="1:7" x14ac:dyDescent="0.15">
      <c r="A12" t="s">
        <v>22</v>
      </c>
      <c r="B12" s="3">
        <v>78084</v>
      </c>
      <c r="C12" s="3">
        <v>36987</v>
      </c>
      <c r="D12" s="3">
        <v>130299</v>
      </c>
      <c r="E12" s="3">
        <f>VLOOKUP($A12, 'Top 10 Health Spending'!$A$1:$D$51, 2, FALSE)</f>
        <v>350</v>
      </c>
      <c r="F12" s="3">
        <f>VLOOKUP($A12, 'Top 10 Health Spending'!$A$1:$D$51, 3, FALSE)</f>
        <v>200</v>
      </c>
      <c r="G12" s="3">
        <f>VLOOKUP($A12, 'Top 10 Health Spending'!$A$1:$D$51, 4, FALSE)</f>
        <v>800</v>
      </c>
    </row>
    <row r="13" spans="1:7" x14ac:dyDescent="0.15">
      <c r="A13" t="s">
        <v>23</v>
      </c>
      <c r="B13" s="3">
        <v>53545</v>
      </c>
      <c r="C13" s="3">
        <v>25119</v>
      </c>
      <c r="D13" s="3">
        <v>92625</v>
      </c>
      <c r="E13" s="3">
        <f>VLOOKUP($A13, 'Top 10 Health Spending'!$A$1:$D$51, 2, FALSE)</f>
        <v>125.5</v>
      </c>
      <c r="F13" s="3">
        <f>VLOOKUP($A13, 'Top 10 Health Spending'!$A$1:$D$51, 3, FALSE)</f>
        <v>50</v>
      </c>
      <c r="G13" s="3">
        <f>VLOOKUP($A13, 'Top 10 Health Spending'!$A$1:$D$51, 4, FALSE)</f>
        <v>300</v>
      </c>
    </row>
    <row r="14" spans="1:7" x14ac:dyDescent="0.15">
      <c r="A14" t="s">
        <v>14</v>
      </c>
      <c r="B14" s="3">
        <v>70387</v>
      </c>
      <c r="C14" s="3">
        <v>32737</v>
      </c>
      <c r="D14" s="3">
        <v>126359</v>
      </c>
      <c r="E14" s="3">
        <f>VLOOKUP($A14, 'Top 10 Health Spending'!$A$1:$D$51, 2, FALSE)</f>
        <v>225.75</v>
      </c>
      <c r="F14" s="3">
        <f>VLOOKUP($A14, 'Top 10 Health Spending'!$A$1:$D$51, 3, FALSE)</f>
        <v>100</v>
      </c>
      <c r="G14" s="3">
        <f>VLOOKUP($A14, 'Top 10 Health Spending'!$A$1:$D$51, 4, FALSE)</f>
        <v>500</v>
      </c>
    </row>
    <row r="15" spans="1:7" x14ac:dyDescent="0.15">
      <c r="A15" t="s">
        <v>26</v>
      </c>
      <c r="B15" s="3">
        <v>57881</v>
      </c>
      <c r="C15" s="3">
        <v>27050</v>
      </c>
      <c r="D15" s="3">
        <v>97462</v>
      </c>
      <c r="E15" s="3">
        <f>VLOOKUP($A15, 'Top 10 Health Spending'!$A$1:$D$51, 2, FALSE)</f>
        <v>200.25</v>
      </c>
      <c r="F15" s="3">
        <f>VLOOKUP($A15, 'Top 10 Health Spending'!$A$1:$D$51, 3, FALSE)</f>
        <v>75</v>
      </c>
      <c r="G15" s="3">
        <f>VLOOKUP($A15, 'Top 10 Health Spending'!$A$1:$D$51, 4, FALSE)</f>
        <v>400</v>
      </c>
    </row>
    <row r="16" spans="1:7" x14ac:dyDescent="0.15">
      <c r="A16" t="s">
        <v>28</v>
      </c>
      <c r="B16" s="3">
        <v>62075</v>
      </c>
      <c r="C16" s="3">
        <v>28709</v>
      </c>
      <c r="D16" s="3">
        <v>101572</v>
      </c>
      <c r="E16" s="3">
        <f>VLOOKUP($A16, 'Top 10 Health Spending'!$A$1:$D$51, 2, FALSE)</f>
        <v>150</v>
      </c>
      <c r="F16" s="3">
        <f>VLOOKUP($A16, 'Top 10 Health Spending'!$A$1:$D$51, 3, FALSE)</f>
        <v>50</v>
      </c>
      <c r="G16" s="3">
        <f>VLOOKUP($A16, 'Top 10 Health Spending'!$A$1:$D$51, 4, FALSE)</f>
        <v>250</v>
      </c>
    </row>
    <row r="17" spans="1:7" x14ac:dyDescent="0.15">
      <c r="A17" t="s">
        <v>29</v>
      </c>
      <c r="B17" s="3">
        <v>59046</v>
      </c>
      <c r="C17" s="3">
        <v>27487</v>
      </c>
      <c r="D17" s="3">
        <v>100276</v>
      </c>
      <c r="E17" s="3">
        <f>VLOOKUP($A17, 'Top 10 Health Spending'!$A$1:$D$51, 2, FALSE)</f>
        <v>175.5</v>
      </c>
      <c r="F17" s="3">
        <f>VLOOKUP($A17, 'Top 10 Health Spending'!$A$1:$D$51, 3, FALSE)</f>
        <v>50</v>
      </c>
      <c r="G17" s="3">
        <f>VLOOKUP($A17, 'Top 10 Health Spending'!$A$1:$D$51, 4, FALSE)</f>
        <v>350</v>
      </c>
    </row>
    <row r="18" spans="1:7" x14ac:dyDescent="0.15">
      <c r="A18" t="s">
        <v>30</v>
      </c>
      <c r="B18" s="3">
        <v>50675</v>
      </c>
      <c r="C18" s="3">
        <v>23915</v>
      </c>
      <c r="D18" s="3">
        <v>88278</v>
      </c>
      <c r="E18" s="3">
        <f>VLOOKUP($A18, 'Top 10 Health Spending'!$A$1:$D$51, 2, FALSE)</f>
        <v>175</v>
      </c>
      <c r="F18" s="3">
        <f>VLOOKUP($A18, 'Top 10 Health Spending'!$A$1:$D$51, 3, FALSE)</f>
        <v>75</v>
      </c>
      <c r="G18" s="3">
        <f>VLOOKUP($A18, 'Top 10 Health Spending'!$A$1:$D$51, 4, FALSE)</f>
        <v>400</v>
      </c>
    </row>
    <row r="19" spans="1:7" x14ac:dyDescent="0.15">
      <c r="A19" t="s">
        <v>32</v>
      </c>
      <c r="B19" s="3">
        <v>50686</v>
      </c>
      <c r="C19" s="3">
        <v>23855</v>
      </c>
      <c r="D19" s="3">
        <v>93827</v>
      </c>
      <c r="E19" s="3">
        <f>VLOOKUP($A19, 'Top 10 Health Spending'!$A$1:$D$51, 2, FALSE)</f>
        <v>200</v>
      </c>
      <c r="F19" s="3">
        <f>VLOOKUP($A19, 'Top 10 Health Spending'!$A$1:$D$51, 3, FALSE)</f>
        <v>75</v>
      </c>
      <c r="G19" s="3">
        <f>VLOOKUP($A19, 'Top 10 Health Spending'!$A$1:$D$51, 4, FALSE)</f>
        <v>450</v>
      </c>
    </row>
    <row r="20" spans="1:7" x14ac:dyDescent="0.15">
      <c r="A20" t="s">
        <v>34</v>
      </c>
      <c r="B20" s="3">
        <v>54927</v>
      </c>
      <c r="C20" s="3">
        <v>25964</v>
      </c>
      <c r="D20" s="3">
        <v>98362</v>
      </c>
      <c r="E20" s="3">
        <f>VLOOKUP($A20, 'Top 10 Health Spending'!$A$1:$D$51, 2, FALSE)</f>
        <v>225.75</v>
      </c>
      <c r="F20" s="3">
        <f>VLOOKUP($A20, 'Top 10 Health Spending'!$A$1:$D$51, 3, FALSE)</f>
        <v>100</v>
      </c>
      <c r="G20" s="3">
        <f>VLOOKUP($A20, 'Top 10 Health Spending'!$A$1:$D$51, 4, FALSE)</f>
        <v>500</v>
      </c>
    </row>
    <row r="21" spans="1:7" x14ac:dyDescent="0.15">
      <c r="A21" t="s">
        <v>27</v>
      </c>
      <c r="B21" s="3">
        <v>89392</v>
      </c>
      <c r="C21" s="3">
        <v>42343</v>
      </c>
      <c r="D21" s="3">
        <v>167535</v>
      </c>
      <c r="E21" s="3">
        <f>VLOOKUP($A21, 'Top 10 Health Spending'!$A$1:$D$51, 2, FALSE)</f>
        <v>300</v>
      </c>
      <c r="F21" s="3">
        <f>VLOOKUP($A21, 'Top 10 Health Spending'!$A$1:$D$51, 3, FALSE)</f>
        <v>150</v>
      </c>
      <c r="G21" s="3">
        <f>VLOOKUP($A21, 'Top 10 Health Spending'!$A$1:$D$51, 4, FALSE)</f>
        <v>700</v>
      </c>
    </row>
    <row r="22" spans="1:7" x14ac:dyDescent="0.15">
      <c r="A22" t="s">
        <v>18</v>
      </c>
      <c r="B22" s="3">
        <v>82427</v>
      </c>
      <c r="C22" s="3">
        <v>38980</v>
      </c>
      <c r="D22" s="3">
        <v>144960</v>
      </c>
      <c r="E22" s="3">
        <f>VLOOKUP($A22, 'Top 10 Health Spending'!$A$1:$D$51, 2, FALSE)</f>
        <v>350</v>
      </c>
      <c r="F22" s="3">
        <f>VLOOKUP($A22, 'Top 10 Health Spending'!$A$1:$D$51, 3, FALSE)</f>
        <v>200</v>
      </c>
      <c r="G22" s="3">
        <f>VLOOKUP($A22, 'Top 10 Health Spending'!$A$1:$D$51, 4, FALSE)</f>
        <v>800</v>
      </c>
    </row>
    <row r="23" spans="1:7" x14ac:dyDescent="0.15">
      <c r="A23" t="s">
        <v>21</v>
      </c>
      <c r="B23" s="3">
        <v>61347</v>
      </c>
      <c r="C23" s="3">
        <v>28357</v>
      </c>
      <c r="D23" s="3">
        <v>111915</v>
      </c>
      <c r="E23" s="3">
        <f>VLOOKUP($A23, 'Top 10 Health Spending'!$A$1:$D$51, 2, FALSE)</f>
        <v>225.5</v>
      </c>
      <c r="F23" s="3">
        <f>VLOOKUP($A23, 'Top 10 Health Spending'!$A$1:$D$51, 3, FALSE)</f>
        <v>100</v>
      </c>
      <c r="G23" s="3">
        <f>VLOOKUP($A23, 'Top 10 Health Spending'!$A$1:$D$51, 4, FALSE)</f>
        <v>500</v>
      </c>
    </row>
    <row r="24" spans="1:7" x14ac:dyDescent="0.15">
      <c r="A24" t="s">
        <v>37</v>
      </c>
      <c r="B24" s="3">
        <v>72027</v>
      </c>
      <c r="C24" s="3">
        <v>33578</v>
      </c>
      <c r="D24" s="3">
        <v>124913</v>
      </c>
      <c r="E24" s="3">
        <f>VLOOKUP($A24, 'Top 10 Health Spending'!$A$1:$D$51, 2, FALSE)</f>
        <v>175.5</v>
      </c>
      <c r="F24" s="3">
        <f>VLOOKUP($A24, 'Top 10 Health Spending'!$A$1:$D$51, 3, FALSE)</f>
        <v>75</v>
      </c>
      <c r="G24" s="3">
        <f>VLOOKUP($A24, 'Top 10 Health Spending'!$A$1:$D$51, 4, FALSE)</f>
        <v>400</v>
      </c>
    </row>
    <row r="25" spans="1:7" x14ac:dyDescent="0.15">
      <c r="A25" t="s">
        <v>38</v>
      </c>
      <c r="B25" s="3">
        <v>47131</v>
      </c>
      <c r="C25" s="3">
        <v>22732</v>
      </c>
      <c r="D25" s="3">
        <v>81693</v>
      </c>
      <c r="E25" s="3">
        <f>VLOOKUP($A25, 'Top 10 Health Spending'!$A$1:$D$51, 2, FALSE)</f>
        <v>150</v>
      </c>
      <c r="F25" s="3">
        <f>VLOOKUP($A25, 'Top 10 Health Spending'!$A$1:$D$51, 3, FALSE)</f>
        <v>25</v>
      </c>
      <c r="G25" s="3">
        <f>VLOOKUP($A25, 'Top 10 Health Spending'!$A$1:$D$51, 4, FALSE)</f>
        <v>300</v>
      </c>
    </row>
    <row r="26" spans="1:7" x14ac:dyDescent="0.15">
      <c r="A26" t="s">
        <v>31</v>
      </c>
      <c r="B26" s="3">
        <v>55685</v>
      </c>
      <c r="C26" s="3">
        <v>26550</v>
      </c>
      <c r="D26" s="3">
        <v>93281</v>
      </c>
      <c r="E26" s="3">
        <f>VLOOKUP($A26, 'Top 10 Health Spending'!$A$1:$D$51, 2, FALSE)</f>
        <v>200.25</v>
      </c>
      <c r="F26" s="3">
        <f>VLOOKUP($A26, 'Top 10 Health Spending'!$A$1:$D$51, 3, FALSE)</f>
        <v>75</v>
      </c>
      <c r="G26" s="3">
        <f>VLOOKUP($A26, 'Top 10 Health Spending'!$A$1:$D$51, 4, FALSE)</f>
        <v>400</v>
      </c>
    </row>
    <row r="27" spans="1:7" x14ac:dyDescent="0.15">
      <c r="A27" t="s">
        <v>40</v>
      </c>
      <c r="B27" s="3">
        <v>54875</v>
      </c>
      <c r="C27" s="3">
        <v>25507</v>
      </c>
      <c r="D27" s="3">
        <v>91862</v>
      </c>
      <c r="E27" s="3">
        <f>VLOOKUP($A27, 'Top 10 Health Spending'!$A$1:$D$51, 2, FALSE)</f>
        <v>125.5</v>
      </c>
      <c r="F27" s="3">
        <f>VLOOKUP($A27, 'Top 10 Health Spending'!$A$1:$D$51, 3, FALSE)</f>
        <v>50</v>
      </c>
      <c r="G27" s="3">
        <f>VLOOKUP($A27, 'Top 10 Health Spending'!$A$1:$D$51, 4, FALSE)</f>
        <v>300</v>
      </c>
    </row>
    <row r="28" spans="1:7" x14ac:dyDescent="0.15">
      <c r="A28" t="s">
        <v>41</v>
      </c>
      <c r="B28" s="3">
        <v>59929</v>
      </c>
      <c r="C28" s="3">
        <v>27458</v>
      </c>
      <c r="D28" s="3">
        <v>100060</v>
      </c>
      <c r="E28" s="3">
        <f>VLOOKUP($A28, 'Top 10 Health Spending'!$A$1:$D$51, 2, FALSE)</f>
        <v>175.5</v>
      </c>
      <c r="F28" s="3">
        <f>VLOOKUP($A28, 'Top 10 Health Spending'!$A$1:$D$51, 3, FALSE)</f>
        <v>50</v>
      </c>
      <c r="G28" s="3">
        <f>VLOOKUP($A28, 'Top 10 Health Spending'!$A$1:$D$51, 4, FALSE)</f>
        <v>350</v>
      </c>
    </row>
    <row r="29" spans="1:7" x14ac:dyDescent="0.15">
      <c r="A29" t="s">
        <v>42</v>
      </c>
      <c r="B29" s="3">
        <v>60106</v>
      </c>
      <c r="C29" s="3">
        <v>26809</v>
      </c>
      <c r="D29" s="3">
        <v>112808</v>
      </c>
      <c r="E29" s="3">
        <f>VLOOKUP($A29, 'Top 10 Health Spending'!$A$1:$D$51, 2, FALSE)</f>
        <v>250.75</v>
      </c>
      <c r="F29" s="3">
        <f>VLOOKUP($A29, 'Top 10 Health Spending'!$A$1:$D$51, 3, FALSE)</f>
        <v>50</v>
      </c>
      <c r="G29" s="3">
        <f>VLOOKUP($A29, 'Top 10 Health Spending'!$A$1:$D$51, 4, FALSE)</f>
        <v>600</v>
      </c>
    </row>
    <row r="30" spans="1:7" x14ac:dyDescent="0.15">
      <c r="A30" t="s">
        <v>43</v>
      </c>
      <c r="B30" s="3">
        <v>78676</v>
      </c>
      <c r="C30" s="3">
        <v>38121</v>
      </c>
      <c r="D30" s="3">
        <v>138525</v>
      </c>
      <c r="E30" s="3">
        <f>VLOOKUP($A30, 'Top 10 Health Spending'!$A$1:$D$51, 2, FALSE)</f>
        <v>300</v>
      </c>
      <c r="F30" s="3">
        <f>VLOOKUP($A30, 'Top 10 Health Spending'!$A$1:$D$51, 3, FALSE)</f>
        <v>150</v>
      </c>
      <c r="G30" s="3">
        <f>VLOOKUP($A30, 'Top 10 Health Spending'!$A$1:$D$51, 4, FALSE)</f>
        <v>700</v>
      </c>
    </row>
    <row r="31" spans="1:7" x14ac:dyDescent="0.15">
      <c r="A31" t="s">
        <v>12</v>
      </c>
      <c r="B31" s="3">
        <v>81740</v>
      </c>
      <c r="C31" s="3">
        <v>39625</v>
      </c>
      <c r="D31" s="3">
        <v>161372</v>
      </c>
      <c r="E31" s="3">
        <f>VLOOKUP($A31, 'Top 10 Health Spending'!$A$1:$D$51, 2, FALSE)</f>
        <v>350</v>
      </c>
      <c r="F31" s="3">
        <f>VLOOKUP($A31, 'Top 10 Health Spending'!$A$1:$D$51, 3, FALSE)</f>
        <v>200</v>
      </c>
      <c r="G31" s="3">
        <f>VLOOKUP($A31, 'Top 10 Health Spending'!$A$1:$D$51, 4, FALSE)</f>
        <v>800</v>
      </c>
    </row>
    <row r="32" spans="1:7" x14ac:dyDescent="0.15">
      <c r="A32" t="s">
        <v>46</v>
      </c>
      <c r="B32" s="3">
        <v>48701</v>
      </c>
      <c r="C32" s="3">
        <v>23313</v>
      </c>
      <c r="D32" s="3">
        <v>78605</v>
      </c>
      <c r="E32" s="3">
        <f>VLOOKUP($A32, 'Top 10 Health Spending'!$A$1:$D$51, 2, FALSE)</f>
        <v>175</v>
      </c>
      <c r="F32" s="3">
        <f>VLOOKUP($A32, 'Top 10 Health Spending'!$A$1:$D$51, 3, FALSE)</f>
        <v>75</v>
      </c>
      <c r="G32" s="3">
        <f>VLOOKUP($A32, 'Top 10 Health Spending'!$A$1:$D$51, 4, FALSE)</f>
        <v>400</v>
      </c>
    </row>
    <row r="33" spans="1:7" x14ac:dyDescent="0.15">
      <c r="A33" t="s">
        <v>7</v>
      </c>
      <c r="B33" s="3">
        <v>70137</v>
      </c>
      <c r="C33" s="3">
        <v>33332</v>
      </c>
      <c r="D33" s="3">
        <v>128558</v>
      </c>
      <c r="E33" s="3">
        <f>VLOOKUP($A33, 'Top 10 Health Spending'!$A$1:$D$51, 2, FALSE)</f>
        <v>225.75</v>
      </c>
      <c r="F33" s="3">
        <f>VLOOKUP($A33, 'Top 10 Health Spending'!$A$1:$D$51, 3, FALSE)</f>
        <v>100</v>
      </c>
      <c r="G33" s="3">
        <f>VLOOKUP($A33, 'Top 10 Health Spending'!$A$1:$D$51, 4, FALSE)</f>
        <v>500</v>
      </c>
    </row>
    <row r="34" spans="1:7" x14ac:dyDescent="0.15">
      <c r="A34" t="s">
        <v>24</v>
      </c>
      <c r="B34" s="3">
        <v>54560</v>
      </c>
      <c r="C34" s="3">
        <v>26202</v>
      </c>
      <c r="D34" s="3">
        <v>92266</v>
      </c>
      <c r="E34" s="3">
        <f>VLOOKUP($A34, 'Top 10 Health Spending'!$A$1:$D$51, 2, FALSE)</f>
        <v>200</v>
      </c>
      <c r="F34" s="3">
        <f>VLOOKUP($A34, 'Top 10 Health Spending'!$A$1:$D$51, 3, FALSE)</f>
        <v>75</v>
      </c>
      <c r="G34" s="3">
        <f>VLOOKUP($A34, 'Top 10 Health Spending'!$A$1:$D$51, 4, FALSE)</f>
        <v>450</v>
      </c>
    </row>
    <row r="35" spans="1:7" x14ac:dyDescent="0.15">
      <c r="A35" t="s">
        <v>47</v>
      </c>
      <c r="B35" s="3">
        <v>63715</v>
      </c>
      <c r="C35" s="3">
        <v>30750</v>
      </c>
      <c r="D35" s="3">
        <v>95621</v>
      </c>
      <c r="E35" s="3">
        <f>VLOOKUP($A35, 'Top 10 Health Spending'!$A$1:$D$51, 2, FALSE)</f>
        <v>150</v>
      </c>
      <c r="F35" s="3">
        <f>VLOOKUP($A35, 'Top 10 Health Spending'!$A$1:$D$51, 3, FALSE)</f>
        <v>50</v>
      </c>
      <c r="G35" s="3">
        <f>VLOOKUP($A35, 'Top 10 Health Spending'!$A$1:$D$51, 4, FALSE)</f>
        <v>250</v>
      </c>
    </row>
    <row r="36" spans="1:7" x14ac:dyDescent="0.15">
      <c r="A36" t="s">
        <v>19</v>
      </c>
      <c r="B36" s="3">
        <v>56583</v>
      </c>
      <c r="C36" s="3">
        <v>27214</v>
      </c>
      <c r="D36" s="3">
        <v>97224</v>
      </c>
      <c r="E36" s="3">
        <f>VLOOKUP($A36, 'Top 10 Health Spending'!$A$1:$D$51, 2, FALSE)</f>
        <v>200.25</v>
      </c>
      <c r="F36" s="3">
        <f>VLOOKUP($A36, 'Top 10 Health Spending'!$A$1:$D$51, 3, FALSE)</f>
        <v>75</v>
      </c>
      <c r="G36" s="3">
        <f>VLOOKUP($A36, 'Top 10 Health Spending'!$A$1:$D$51, 4, FALSE)</f>
        <v>400</v>
      </c>
    </row>
    <row r="37" spans="1:7" x14ac:dyDescent="0.15">
      <c r="A37" t="s">
        <v>44</v>
      </c>
      <c r="B37" s="3">
        <v>51424</v>
      </c>
      <c r="C37" s="3">
        <v>25018</v>
      </c>
      <c r="D37" s="3">
        <v>87833</v>
      </c>
      <c r="E37" s="3">
        <f>VLOOKUP($A37, 'Top 10 Health Spending'!$A$1:$D$51, 2, FALSE)</f>
        <v>175.5</v>
      </c>
      <c r="F37" s="3">
        <f>VLOOKUP($A37, 'Top 10 Health Spending'!$A$1:$D$51, 3, FALSE)</f>
        <v>50</v>
      </c>
      <c r="G37" s="3">
        <f>VLOOKUP($A37, 'Top 10 Health Spending'!$A$1:$D$51, 4, FALSE)</f>
        <v>350</v>
      </c>
    </row>
    <row r="38" spans="1:7" x14ac:dyDescent="0.15">
      <c r="A38" t="s">
        <v>39</v>
      </c>
      <c r="B38" s="3">
        <v>63835</v>
      </c>
      <c r="C38" s="3">
        <v>29709</v>
      </c>
      <c r="D38" s="3">
        <v>120548</v>
      </c>
      <c r="E38" s="3">
        <f>VLOOKUP($A38, 'Top 10 Health Spending'!$A$1:$D$51, 2, FALSE)</f>
        <v>225.5</v>
      </c>
      <c r="F38" s="3">
        <f>VLOOKUP($A38, 'Top 10 Health Spending'!$A$1:$D$51, 3, FALSE)</f>
        <v>100</v>
      </c>
      <c r="G38" s="3">
        <f>VLOOKUP($A38, 'Top 10 Health Spending'!$A$1:$D$51, 4, FALSE)</f>
        <v>500</v>
      </c>
    </row>
    <row r="39" spans="1:7" x14ac:dyDescent="0.15">
      <c r="A39" t="s">
        <v>9</v>
      </c>
      <c r="B39" s="3">
        <v>65135</v>
      </c>
      <c r="C39" s="3">
        <v>30524</v>
      </c>
      <c r="D39" s="3">
        <v>119394</v>
      </c>
      <c r="E39" s="3">
        <f>VLOOKUP($A39, 'Top 10 Health Spending'!$A$1:$D$51, 2, FALSE)</f>
        <v>300</v>
      </c>
      <c r="F39" s="3">
        <f>VLOOKUP($A39, 'Top 10 Health Spending'!$A$1:$D$51, 3, FALSE)</f>
        <v>150</v>
      </c>
      <c r="G39" s="3">
        <f>VLOOKUP($A39, 'Top 10 Health Spending'!$A$1:$D$51, 4, FALSE)</f>
        <v>700</v>
      </c>
    </row>
    <row r="40" spans="1:7" x14ac:dyDescent="0.15">
      <c r="A40" t="s">
        <v>48</v>
      </c>
      <c r="B40" s="3">
        <v>64962</v>
      </c>
      <c r="C40" s="3">
        <v>30811</v>
      </c>
      <c r="D40" s="3">
        <v>128555</v>
      </c>
      <c r="E40" s="3">
        <f>VLOOKUP($A40, 'Top 10 Health Spending'!$A$1:$D$51, 2, FALSE)</f>
        <v>350</v>
      </c>
      <c r="F40" s="3">
        <f>VLOOKUP($A40, 'Top 10 Health Spending'!$A$1:$D$51, 3, FALSE)</f>
        <v>200</v>
      </c>
      <c r="G40" s="3">
        <f>VLOOKUP($A40, 'Top 10 Health Spending'!$A$1:$D$51, 4, FALSE)</f>
        <v>800</v>
      </c>
    </row>
    <row r="41" spans="1:7" x14ac:dyDescent="0.15">
      <c r="A41" t="s">
        <v>36</v>
      </c>
      <c r="B41" s="3">
        <v>52536</v>
      </c>
      <c r="C41" s="3">
        <v>24334</v>
      </c>
      <c r="D41" s="3">
        <v>96505</v>
      </c>
      <c r="E41" s="3">
        <f>VLOOKUP($A41, 'Top 10 Health Spending'!$A$1:$D$51, 2, FALSE)</f>
        <v>200</v>
      </c>
      <c r="F41" s="3">
        <f>VLOOKUP($A41, 'Top 10 Health Spending'!$A$1:$D$51, 3, FALSE)</f>
        <v>75</v>
      </c>
      <c r="G41" s="3">
        <f>VLOOKUP($A41, 'Top 10 Health Spending'!$A$1:$D$51, 4, FALSE)</f>
        <v>450</v>
      </c>
    </row>
    <row r="42" spans="1:7" x14ac:dyDescent="0.15">
      <c r="A42" t="s">
        <v>50</v>
      </c>
      <c r="B42" s="3">
        <v>56499</v>
      </c>
      <c r="C42" s="3">
        <v>26356</v>
      </c>
      <c r="D42" s="3">
        <v>90226</v>
      </c>
      <c r="E42" s="3">
        <f>VLOOKUP($A42, 'Top 10 Health Spending'!$A$1:$D$51, 2, FALSE)</f>
        <v>150</v>
      </c>
      <c r="F42" s="3">
        <f>VLOOKUP($A42, 'Top 10 Health Spending'!$A$1:$D$51, 3, FALSE)</f>
        <v>50</v>
      </c>
      <c r="G42" s="3">
        <f>VLOOKUP($A42, 'Top 10 Health Spending'!$A$1:$D$51, 4, FALSE)</f>
        <v>250</v>
      </c>
    </row>
    <row r="43" spans="1:7" x14ac:dyDescent="0.15">
      <c r="A43" t="s">
        <v>33</v>
      </c>
      <c r="B43" s="3">
        <v>55107</v>
      </c>
      <c r="C43" s="3">
        <v>25885</v>
      </c>
      <c r="D43" s="3">
        <v>98512</v>
      </c>
      <c r="E43" s="3">
        <f>VLOOKUP($A43, 'Top 10 Health Spending'!$A$1:$D$51, 2, FALSE)</f>
        <v>175.25</v>
      </c>
      <c r="F43" s="3">
        <f>VLOOKUP($A43, 'Top 10 Health Spending'!$A$1:$D$51, 3, FALSE)</f>
        <v>50</v>
      </c>
      <c r="G43" s="3">
        <f>VLOOKUP($A43, 'Top 10 Health Spending'!$A$1:$D$51, 4, FALSE)</f>
        <v>400</v>
      </c>
    </row>
    <row r="44" spans="1:7" x14ac:dyDescent="0.15">
      <c r="A44" t="s">
        <v>5</v>
      </c>
      <c r="B44" s="3">
        <v>63656</v>
      </c>
      <c r="C44" s="3">
        <v>29537</v>
      </c>
      <c r="D44" s="3">
        <v>116343</v>
      </c>
      <c r="E44" s="3">
        <f>VLOOKUP($A44, 'Top 10 Health Spending'!$A$1:$D$51, 2, FALSE)</f>
        <v>225.75</v>
      </c>
      <c r="F44" s="3">
        <f>VLOOKUP($A44, 'Top 10 Health Spending'!$A$1:$D$51, 3, FALSE)</f>
        <v>100</v>
      </c>
      <c r="G44" s="3">
        <f>VLOOKUP($A44, 'Top 10 Health Spending'!$A$1:$D$51, 4, FALSE)</f>
        <v>500</v>
      </c>
    </row>
    <row r="45" spans="1:7" x14ac:dyDescent="0.15">
      <c r="A45" t="s">
        <v>45</v>
      </c>
      <c r="B45" s="3">
        <v>72558</v>
      </c>
      <c r="C45" s="3">
        <v>33432</v>
      </c>
      <c r="D45" s="3">
        <v>130461</v>
      </c>
      <c r="E45" s="3">
        <f>VLOOKUP($A45, 'Top 10 Health Spending'!$A$1:$D$51, 2, FALSE)</f>
        <v>175.5</v>
      </c>
      <c r="F45" s="3">
        <f>VLOOKUP($A45, 'Top 10 Health Spending'!$A$1:$D$51, 3, FALSE)</f>
        <v>50</v>
      </c>
      <c r="G45" s="3">
        <f>VLOOKUP($A45, 'Top 10 Health Spending'!$A$1:$D$51, 4, FALSE)</f>
        <v>350</v>
      </c>
    </row>
    <row r="46" spans="1:7" x14ac:dyDescent="0.15">
      <c r="A46" t="s">
        <v>51</v>
      </c>
      <c r="B46" s="3">
        <v>58305</v>
      </c>
      <c r="C46" s="3">
        <v>27663</v>
      </c>
      <c r="D46" s="3">
        <v>104926</v>
      </c>
      <c r="E46" s="3">
        <f>VLOOKUP($A46, 'Top 10 Health Spending'!$A$1:$D$51, 2, FALSE)</f>
        <v>225.75</v>
      </c>
      <c r="F46" s="3">
        <f>VLOOKUP($A46, 'Top 10 Health Spending'!$A$1:$D$51, 3, FALSE)</f>
        <v>100</v>
      </c>
      <c r="G46" s="3">
        <f>VLOOKUP($A46, 'Top 10 Health Spending'!$A$1:$D$51, 4, FALSE)</f>
        <v>500</v>
      </c>
    </row>
    <row r="47" spans="1:7" x14ac:dyDescent="0.15">
      <c r="A47" t="s">
        <v>16</v>
      </c>
      <c r="B47" s="3">
        <v>75417</v>
      </c>
      <c r="C47" s="3">
        <v>34723</v>
      </c>
      <c r="D47" s="3">
        <v>151753</v>
      </c>
      <c r="E47" s="3">
        <f>VLOOKUP($A47, 'Top 10 Health Spending'!$A$1:$D$51, 2, FALSE)</f>
        <v>300</v>
      </c>
      <c r="F47" s="3">
        <f>VLOOKUP($A47, 'Top 10 Health Spending'!$A$1:$D$51, 3, FALSE)</f>
        <v>150</v>
      </c>
      <c r="G47" s="3">
        <f>VLOOKUP($A47, 'Top 10 Health Spending'!$A$1:$D$51, 4, FALSE)</f>
        <v>700</v>
      </c>
    </row>
    <row r="48" spans="1:7" x14ac:dyDescent="0.15">
      <c r="A48" t="s">
        <v>25</v>
      </c>
      <c r="B48" s="3">
        <v>77338</v>
      </c>
      <c r="C48" s="3">
        <v>36118</v>
      </c>
      <c r="D48" s="3">
        <v>142957</v>
      </c>
      <c r="E48" s="3">
        <f>VLOOKUP($A48, 'Top 10 Health Spending'!$A$1:$D$51, 2, FALSE)</f>
        <v>250.75</v>
      </c>
      <c r="F48" s="3">
        <f>VLOOKUP($A48, 'Top 10 Health Spending'!$A$1:$D$51, 3, FALSE)</f>
        <v>50</v>
      </c>
      <c r="G48" s="3">
        <f>VLOOKUP($A48, 'Top 10 Health Spending'!$A$1:$D$51, 4, FALSE)</f>
        <v>600</v>
      </c>
    </row>
    <row r="49" spans="1:7" x14ac:dyDescent="0.15">
      <c r="A49" t="s">
        <v>49</v>
      </c>
      <c r="B49" s="3">
        <v>46254</v>
      </c>
      <c r="C49" s="3">
        <v>21967</v>
      </c>
      <c r="D49" s="3">
        <v>85459</v>
      </c>
      <c r="E49" s="3">
        <f>VLOOKUP($A49, 'Top 10 Health Spending'!$A$1:$D$51, 2, FALSE)</f>
        <v>175</v>
      </c>
      <c r="F49" s="3">
        <f>VLOOKUP($A49, 'Top 10 Health Spending'!$A$1:$D$51, 3, FALSE)</f>
        <v>75</v>
      </c>
      <c r="G49" s="3">
        <f>VLOOKUP($A49, 'Top 10 Health Spending'!$A$1:$D$51, 4, FALSE)</f>
        <v>400</v>
      </c>
    </row>
    <row r="50" spans="1:7" x14ac:dyDescent="0.15">
      <c r="A50" t="s">
        <v>35</v>
      </c>
      <c r="B50" s="3">
        <v>63795</v>
      </c>
      <c r="C50" s="3">
        <v>29622</v>
      </c>
      <c r="D50" s="3">
        <v>117154</v>
      </c>
      <c r="E50" s="3">
        <f>VLOOKUP($A50, 'Top 10 Health Spending'!$A$1:$D$51, 2, FALSE)</f>
        <v>200.25</v>
      </c>
      <c r="F50" s="3">
        <f>VLOOKUP($A50, 'Top 10 Health Spending'!$A$1:$D$51, 3, FALSE)</f>
        <v>75</v>
      </c>
      <c r="G50" s="3">
        <f>VLOOKUP($A50, 'Top 10 Health Spending'!$A$1:$D$51, 4, FALSE)</f>
        <v>400</v>
      </c>
    </row>
    <row r="51" spans="1:7" x14ac:dyDescent="0.15">
      <c r="A51" t="s">
        <v>52</v>
      </c>
      <c r="B51" s="3">
        <v>60434</v>
      </c>
      <c r="C51" s="3">
        <v>28973</v>
      </c>
      <c r="D51" s="3">
        <v>104732</v>
      </c>
      <c r="E51" s="3">
        <f>VLOOKUP($A51, 'Top 10 Health Spending'!$A$1:$D$51, 2, FALSE)</f>
        <v>125.5</v>
      </c>
      <c r="F51" s="3">
        <f>VLOOKUP($A51, 'Top 10 Health Spending'!$A$1:$D$51, 3, FALSE)</f>
        <v>50</v>
      </c>
      <c r="G51" s="3">
        <f>VLOOKUP($A51, 'Top 10 Health Spending'!$A$1:$D$51, 4, FALSE)</f>
        <v>300</v>
      </c>
    </row>
  </sheetData>
  <conditionalFormatting sqref="E1">
    <cfRule type="top10" dxfId="2" priority="3" rank="10"/>
  </conditionalFormatting>
  <conditionalFormatting sqref="F1">
    <cfRule type="top10" dxfId="1" priority="2" rank="10"/>
  </conditionalFormatting>
  <conditionalFormatting sqref="G1">
    <cfRule type="top10" dxfId="0" priority="1" rank="10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Health Spending</vt:lpstr>
      <vt:lpstr>Top 10 Health Spending</vt:lpstr>
      <vt:lpstr>Property and Profit</vt:lpstr>
      <vt:lpstr>Health Spending and Income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Kiel Lagmay</cp:lastModifiedBy>
  <dcterms:modified xsi:type="dcterms:W3CDTF">2024-04-21T13:40:06Z</dcterms:modified>
</cp:coreProperties>
</file>